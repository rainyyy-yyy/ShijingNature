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peggy\Github\ShijingNature\"/>
    </mc:Choice>
  </mc:AlternateContent>
  <xr:revisionPtr revIDLastSave="0" documentId="13_ncr:1_{4B583E64-38B0-4939-B19C-6E8F4B3744F5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23" i="1" l="1"/>
  <c r="P124" i="1"/>
  <c r="P125" i="1"/>
  <c r="P126" i="1"/>
  <c r="P127" i="1"/>
  <c r="O123" i="1"/>
  <c r="O124" i="1"/>
  <c r="O125" i="1"/>
  <c r="O126" i="1"/>
  <c r="O127" i="1"/>
  <c r="N123" i="1"/>
  <c r="N124" i="1"/>
  <c r="N125" i="1"/>
  <c r="N126" i="1"/>
  <c r="N127" i="1"/>
  <c r="M123" i="1"/>
  <c r="M124" i="1"/>
  <c r="M125" i="1"/>
  <c r="M126" i="1"/>
  <c r="M127" i="1"/>
  <c r="L123" i="1"/>
  <c r="L124" i="1"/>
  <c r="L125" i="1"/>
  <c r="L126" i="1"/>
  <c r="L127" i="1"/>
  <c r="K123" i="1"/>
  <c r="K124" i="1"/>
  <c r="K125" i="1"/>
  <c r="K126" i="1"/>
  <c r="K127" i="1"/>
  <c r="L122" i="1"/>
  <c r="M122" i="1"/>
  <c r="N122" i="1"/>
  <c r="O122" i="1"/>
  <c r="P122" i="1"/>
  <c r="K122" i="1"/>
  <c r="P96" i="1"/>
  <c r="P94" i="1"/>
  <c r="P95" i="1"/>
  <c r="P97" i="1"/>
  <c r="O97" i="1"/>
  <c r="O96" i="1"/>
  <c r="O95" i="1"/>
  <c r="O94" i="1"/>
  <c r="N94" i="1"/>
  <c r="N95" i="1"/>
  <c r="N96" i="1"/>
  <c r="N97" i="1"/>
  <c r="M94" i="1"/>
  <c r="M95" i="1"/>
  <c r="M96" i="1"/>
  <c r="M97" i="1"/>
  <c r="L94" i="1"/>
  <c r="L95" i="1"/>
  <c r="L96" i="1"/>
  <c r="L97" i="1"/>
  <c r="K94" i="1"/>
  <c r="K95" i="1"/>
  <c r="K96" i="1"/>
  <c r="K97" i="1"/>
  <c r="L93" i="1"/>
  <c r="M93" i="1"/>
  <c r="N93" i="1"/>
  <c r="O93" i="1"/>
  <c r="P93" i="1"/>
  <c r="K93" i="1"/>
  <c r="P61" i="1"/>
  <c r="P62" i="1"/>
  <c r="P63" i="1"/>
  <c r="P64" i="1"/>
  <c r="P65" i="1"/>
  <c r="P66" i="1"/>
  <c r="O61" i="1"/>
  <c r="O62" i="1"/>
  <c r="O63" i="1"/>
  <c r="O64" i="1"/>
  <c r="O65" i="1"/>
  <c r="O66" i="1"/>
  <c r="N61" i="1"/>
  <c r="N62" i="1"/>
  <c r="N63" i="1"/>
  <c r="N64" i="1"/>
  <c r="N65" i="1"/>
  <c r="N66" i="1"/>
  <c r="M61" i="1"/>
  <c r="M62" i="1"/>
  <c r="M63" i="1"/>
  <c r="M64" i="1"/>
  <c r="M65" i="1"/>
  <c r="M66" i="1"/>
  <c r="L61" i="1"/>
  <c r="L62" i="1"/>
  <c r="L63" i="1"/>
  <c r="L64" i="1"/>
  <c r="L65" i="1"/>
  <c r="L66" i="1"/>
  <c r="K66" i="1"/>
  <c r="K65" i="1"/>
  <c r="K63" i="1"/>
  <c r="K62" i="1"/>
  <c r="K61" i="1"/>
  <c r="K64" i="1"/>
  <c r="P60" i="1"/>
  <c r="O60" i="1"/>
  <c r="N60" i="1"/>
  <c r="M60" i="1"/>
  <c r="L60" i="1"/>
  <c r="K60" i="1"/>
  <c r="K49" i="1"/>
  <c r="H84" i="1" l="1"/>
  <c r="H85" i="1"/>
  <c r="H86" i="1"/>
  <c r="H87" i="1"/>
  <c r="H88" i="1"/>
  <c r="B89" i="1"/>
  <c r="C89" i="1"/>
  <c r="D89" i="1"/>
  <c r="E89" i="1"/>
  <c r="F89" i="1"/>
  <c r="G89" i="1"/>
  <c r="H89" i="1"/>
  <c r="I6" i="1"/>
  <c r="B28" i="1" s="1"/>
  <c r="I7" i="1"/>
  <c r="B29" i="1" s="1"/>
  <c r="H112" i="1" l="1"/>
  <c r="K84" i="1" l="1"/>
  <c r="H113" i="1"/>
  <c r="H114" i="1"/>
  <c r="H115" i="1"/>
  <c r="H116" i="1"/>
  <c r="H117" i="1"/>
  <c r="C118" i="1"/>
  <c r="D118" i="1"/>
  <c r="E118" i="1"/>
  <c r="F118" i="1"/>
  <c r="G118" i="1"/>
  <c r="B118" i="1"/>
  <c r="B60" i="1"/>
  <c r="P50" i="1"/>
  <c r="G61" i="1" s="1"/>
  <c r="P51" i="1"/>
  <c r="G62" i="1" s="1"/>
  <c r="P52" i="1"/>
  <c r="G63" i="1" s="1"/>
  <c r="P53" i="1"/>
  <c r="G64" i="1" s="1"/>
  <c r="P54" i="1"/>
  <c r="G65" i="1" s="1"/>
  <c r="P55" i="1"/>
  <c r="O50" i="1"/>
  <c r="F61" i="1" s="1"/>
  <c r="O51" i="1"/>
  <c r="O52" i="1"/>
  <c r="O53" i="1"/>
  <c r="O54" i="1"/>
  <c r="F65" i="1" s="1"/>
  <c r="O55" i="1"/>
  <c r="F66" i="1" s="1"/>
  <c r="N50" i="1"/>
  <c r="E61" i="1" s="1"/>
  <c r="N51" i="1"/>
  <c r="E62" i="1" s="1"/>
  <c r="N52" i="1"/>
  <c r="E63" i="1" s="1"/>
  <c r="N53" i="1"/>
  <c r="E64" i="1" s="1"/>
  <c r="N54" i="1"/>
  <c r="E65" i="1" s="1"/>
  <c r="N55" i="1"/>
  <c r="M50" i="1"/>
  <c r="D61" i="1" s="1"/>
  <c r="M51" i="1"/>
  <c r="D62" i="1" s="1"/>
  <c r="M52" i="1"/>
  <c r="D63" i="1" s="1"/>
  <c r="M53" i="1"/>
  <c r="D64" i="1" s="1"/>
  <c r="M54" i="1"/>
  <c r="M55" i="1"/>
  <c r="L50" i="1"/>
  <c r="L51" i="1"/>
  <c r="L52" i="1"/>
  <c r="L53" i="1"/>
  <c r="C64" i="1" s="1"/>
  <c r="L54" i="1"/>
  <c r="C65" i="1" s="1"/>
  <c r="L55" i="1"/>
  <c r="M49" i="1"/>
  <c r="L49" i="1"/>
  <c r="C60" i="1" s="1"/>
  <c r="N49" i="1"/>
  <c r="E60" i="1" s="1"/>
  <c r="O49" i="1"/>
  <c r="P49" i="1"/>
  <c r="G60" i="1" s="1"/>
  <c r="K52" i="1"/>
  <c r="B63" i="1" s="1"/>
  <c r="K51" i="1"/>
  <c r="B62" i="1" s="1"/>
  <c r="K50" i="1"/>
  <c r="B61" i="1" s="1"/>
  <c r="K53" i="1"/>
  <c r="B64" i="1" s="1"/>
  <c r="K54" i="1"/>
  <c r="K55" i="1"/>
  <c r="O44" i="1"/>
  <c r="P44" i="1"/>
  <c r="Q44" i="1"/>
  <c r="R44" i="1"/>
  <c r="S44" i="1"/>
  <c r="N44" i="1"/>
  <c r="T43" i="1"/>
  <c r="T42" i="1"/>
  <c r="T41" i="1"/>
  <c r="T40" i="1"/>
  <c r="T39" i="1"/>
  <c r="T38" i="1"/>
  <c r="T37" i="1"/>
  <c r="S31" i="1"/>
  <c r="T24" i="1" s="1"/>
  <c r="N30" i="1"/>
  <c r="O26" i="1" s="1"/>
  <c r="I3" i="1"/>
  <c r="B25" i="1" s="1"/>
  <c r="I4" i="1"/>
  <c r="B26" i="1" s="1"/>
  <c r="I5" i="1"/>
  <c r="B27" i="1" s="1"/>
  <c r="I8" i="1"/>
  <c r="B30" i="1" s="1"/>
  <c r="I2" i="1"/>
  <c r="B24" i="1" s="1"/>
  <c r="B32" i="1" l="1"/>
  <c r="C25" i="1" s="1"/>
  <c r="F60" i="1"/>
  <c r="E66" i="1"/>
  <c r="C66" i="1"/>
  <c r="E68" i="1"/>
  <c r="C62" i="1"/>
  <c r="F64" i="1"/>
  <c r="F63" i="1"/>
  <c r="C63" i="1"/>
  <c r="B66" i="1"/>
  <c r="C61" i="1"/>
  <c r="B65" i="1"/>
  <c r="D66" i="1"/>
  <c r="F62" i="1"/>
  <c r="D60" i="1"/>
  <c r="D65" i="1"/>
  <c r="G66" i="1"/>
  <c r="G68" i="1" s="1"/>
  <c r="H118" i="1"/>
  <c r="O112" i="1" s="1"/>
  <c r="T28" i="1"/>
  <c r="T27" i="1"/>
  <c r="T29" i="1"/>
  <c r="T26" i="1"/>
  <c r="T25" i="1"/>
  <c r="T44" i="1"/>
  <c r="O27" i="1"/>
  <c r="O24" i="1"/>
  <c r="P87" i="1"/>
  <c r="O25" i="1"/>
  <c r="O28" i="1"/>
  <c r="C27" i="1"/>
  <c r="C24" i="1"/>
  <c r="C30" i="1"/>
  <c r="C29" i="1"/>
  <c r="C28" i="1"/>
  <c r="C26" i="1"/>
  <c r="I11" i="1"/>
  <c r="B68" i="1" l="1"/>
  <c r="C68" i="1"/>
  <c r="D68" i="1"/>
  <c r="F68" i="1"/>
  <c r="K117" i="1"/>
  <c r="O116" i="1"/>
  <c r="L115" i="1"/>
  <c r="P117" i="1"/>
  <c r="G127" i="1" s="1"/>
  <c r="L117" i="1"/>
  <c r="P115" i="1"/>
  <c r="O114" i="1"/>
  <c r="L113" i="1"/>
  <c r="C123" i="1" s="1"/>
  <c r="L116" i="1"/>
  <c r="C126" i="1" s="1"/>
  <c r="L112" i="1"/>
  <c r="C122" i="1" s="1"/>
  <c r="N117" i="1"/>
  <c r="P114" i="1"/>
  <c r="M117" i="1"/>
  <c r="D127" i="1" s="1"/>
  <c r="P113" i="1"/>
  <c r="G123" i="1" s="1"/>
  <c r="K112" i="1"/>
  <c r="B122" i="1" s="1"/>
  <c r="N116" i="1"/>
  <c r="E126" i="1" s="1"/>
  <c r="K114" i="1"/>
  <c r="O117" i="1"/>
  <c r="M113" i="1"/>
  <c r="D123" i="1" s="1"/>
  <c r="M115" i="1"/>
  <c r="M116" i="1"/>
  <c r="D126" i="1" s="1"/>
  <c r="O113" i="1"/>
  <c r="K115" i="1"/>
  <c r="N115" i="1"/>
  <c r="E125" i="1" s="1"/>
  <c r="M112" i="1"/>
  <c r="D122" i="1" s="1"/>
  <c r="L114" i="1"/>
  <c r="C124" i="1" s="1"/>
  <c r="K113" i="1"/>
  <c r="B123" i="1" s="1"/>
  <c r="N114" i="1"/>
  <c r="E124" i="1" s="1"/>
  <c r="K116" i="1"/>
  <c r="F122" i="1"/>
  <c r="P116" i="1"/>
  <c r="G126" i="1" s="1"/>
  <c r="P112" i="1"/>
  <c r="N113" i="1"/>
  <c r="N112" i="1"/>
  <c r="M114" i="1"/>
  <c r="D124" i="1" s="1"/>
  <c r="O115" i="1"/>
  <c r="E122" i="1"/>
  <c r="C127" i="1"/>
  <c r="F127" i="1"/>
  <c r="L86" i="1"/>
  <c r="L84" i="1"/>
  <c r="M84" i="1"/>
  <c r="P86" i="1"/>
  <c r="G96" i="1"/>
  <c r="M87" i="1"/>
  <c r="M88" i="1"/>
  <c r="M85" i="1"/>
  <c r="N86" i="1"/>
  <c r="O86" i="1"/>
  <c r="C93" i="1"/>
  <c r="K87" i="1"/>
  <c r="K86" i="1"/>
  <c r="N88" i="1"/>
  <c r="O85" i="1"/>
  <c r="P88" i="1"/>
  <c r="K88" i="1"/>
  <c r="O84" i="1"/>
  <c r="C95" i="1"/>
  <c r="G95" i="1"/>
  <c r="M86" i="1"/>
  <c r="N87" i="1"/>
  <c r="O88" i="1"/>
  <c r="L87" i="1"/>
  <c r="L85" i="1"/>
  <c r="L88" i="1"/>
  <c r="P85" i="1"/>
  <c r="K85" i="1"/>
  <c r="N84" i="1"/>
  <c r="P84" i="1"/>
  <c r="O87" i="1"/>
  <c r="N85" i="1"/>
  <c r="C32" i="1"/>
  <c r="C125" i="1" l="1"/>
  <c r="G125" i="1"/>
  <c r="H68" i="1"/>
  <c r="D93" i="1"/>
  <c r="F126" i="1"/>
  <c r="F123" i="1"/>
  <c r="F125" i="1"/>
  <c r="D125" i="1"/>
  <c r="D129" i="1" s="1"/>
  <c r="F124" i="1"/>
  <c r="B125" i="1"/>
  <c r="B127" i="1"/>
  <c r="E123" i="1"/>
  <c r="B124" i="1"/>
  <c r="G124" i="1"/>
  <c r="E127" i="1"/>
  <c r="B126" i="1"/>
  <c r="G122" i="1"/>
  <c r="C129" i="1"/>
  <c r="C97" i="1"/>
  <c r="C94" i="1"/>
  <c r="B95" i="1"/>
  <c r="B96" i="1"/>
  <c r="G97" i="1"/>
  <c r="D95" i="1"/>
  <c r="E93" i="1"/>
  <c r="B94" i="1"/>
  <c r="G94" i="1"/>
  <c r="F94" i="1"/>
  <c r="E97" i="1"/>
  <c r="C96" i="1"/>
  <c r="F97" i="1"/>
  <c r="E96" i="1"/>
  <c r="B93" i="1"/>
  <c r="F95" i="1"/>
  <c r="E95" i="1"/>
  <c r="D94" i="1"/>
  <c r="D97" i="1"/>
  <c r="E94" i="1"/>
  <c r="D96" i="1"/>
  <c r="F96" i="1"/>
  <c r="F93" i="1"/>
  <c r="G93" i="1"/>
  <c r="B97" i="1"/>
  <c r="F129" i="1" l="1"/>
  <c r="G129" i="1"/>
  <c r="B129" i="1"/>
  <c r="E129" i="1"/>
  <c r="H128" i="1"/>
  <c r="E99" i="1"/>
  <c r="F99" i="1"/>
  <c r="C99" i="1"/>
  <c r="B99" i="1"/>
  <c r="D99" i="1"/>
  <c r="G99" i="1"/>
  <c r="H98" i="1" s="1"/>
</calcChain>
</file>

<file path=xl/sharedStrings.xml><?xml version="1.0" encoding="utf-8"?>
<sst xmlns="http://schemas.openxmlformats.org/spreadsheetml/2006/main" count="457" uniqueCount="87">
  <si>
    <t>愛情</t>
  </si>
  <si>
    <t>愛情</t>
    <phoneticPr fontId="2" type="noConversion"/>
  </si>
  <si>
    <t>婚姻</t>
  </si>
  <si>
    <t>婚姻</t>
    <phoneticPr fontId="2" type="noConversion"/>
  </si>
  <si>
    <t>水域意象</t>
  </si>
  <si>
    <t>植物意象</t>
    <phoneticPr fontId="2" type="noConversion"/>
  </si>
  <si>
    <t>動物意象</t>
  </si>
  <si>
    <t>天象氣候</t>
    <phoneticPr fontId="2" type="noConversion"/>
  </si>
  <si>
    <t>地景環境</t>
    <phoneticPr fontId="2" type="noConversion"/>
  </si>
  <si>
    <t>時序季節</t>
  </si>
  <si>
    <t>人化自然活動</t>
    <phoneticPr fontId="2" type="noConversion"/>
  </si>
  <si>
    <t>征人差役</t>
    <phoneticPr fontId="2" type="noConversion"/>
  </si>
  <si>
    <t>勞作生活</t>
    <phoneticPr fontId="2" type="noConversion"/>
  </si>
  <si>
    <t>社會政治</t>
    <phoneticPr fontId="2" type="noConversion"/>
  </si>
  <si>
    <t>感懷</t>
    <phoneticPr fontId="2" type="noConversion"/>
  </si>
  <si>
    <t>SUM</t>
    <phoneticPr fontId="2" type="noConversion"/>
  </si>
  <si>
    <t>詞彙頻次(次)</t>
    <phoneticPr fontId="2" type="noConversion"/>
  </si>
  <si>
    <t>相對頻率(%)</t>
  </si>
  <si>
    <t>相對頻率(%)</t>
    <phoneticPr fontId="2" type="noConversion"/>
  </si>
  <si>
    <t>欄1</t>
  </si>
  <si>
    <t>排名</t>
  </si>
  <si>
    <t>詞彙</t>
  </si>
  <si>
    <t>總頻次</t>
  </si>
  <si>
    <t>意象大類</t>
  </si>
  <si>
    <t>采</t>
  </si>
  <si>
    <t>人化自然活動</t>
  </si>
  <si>
    <t>日</t>
  </si>
  <si>
    <t>天象氣候</t>
  </si>
  <si>
    <t>桑</t>
  </si>
  <si>
    <t>植物意象</t>
  </si>
  <si>
    <t>馬</t>
  </si>
  <si>
    <t>月</t>
  </si>
  <si>
    <t>河</t>
  </si>
  <si>
    <t>風</t>
  </si>
  <si>
    <t>水</t>
  </si>
  <si>
    <t>雨</t>
  </si>
  <si>
    <t>山</t>
  </si>
  <si>
    <t>地景環境</t>
  </si>
  <si>
    <t>隰</t>
  </si>
  <si>
    <t>淇</t>
  </si>
  <si>
    <t>雲</t>
  </si>
  <si>
    <t>野</t>
  </si>
  <si>
    <t>夜</t>
  </si>
  <si>
    <t>鼠</t>
  </si>
  <si>
    <t>夙</t>
  </si>
  <si>
    <t>葉</t>
  </si>
  <si>
    <t>星</t>
  </si>
  <si>
    <t>樹</t>
  </si>
  <si>
    <t>花卉</t>
  </si>
  <si>
    <t>草本</t>
  </si>
  <si>
    <t>木本</t>
  </si>
  <si>
    <t>穀物</t>
  </si>
  <si>
    <t>果實</t>
    <phoneticPr fontId="2" type="noConversion"/>
  </si>
  <si>
    <t>動物意象</t>
    <phoneticPr fontId="2" type="noConversion"/>
  </si>
  <si>
    <t>鳥禽</t>
    <phoneticPr fontId="2" type="noConversion"/>
  </si>
  <si>
    <t>水禽</t>
  </si>
  <si>
    <t>獸類</t>
  </si>
  <si>
    <t>昆蟲</t>
    <phoneticPr fontId="2" type="noConversion"/>
  </si>
  <si>
    <t>魚類</t>
    <phoneticPr fontId="2" type="noConversion"/>
  </si>
  <si>
    <t>其他</t>
    <phoneticPr fontId="2" type="noConversion"/>
  </si>
  <si>
    <t>總和</t>
  </si>
  <si>
    <t>總和</t>
    <phoneticPr fontId="2" type="noConversion"/>
  </si>
  <si>
    <t>欄1</t>
    <phoneticPr fontId="2" type="noConversion"/>
  </si>
  <si>
    <t>征人差役</t>
  </si>
  <si>
    <t>勞作生活</t>
  </si>
  <si>
    <t>社會政治</t>
  </si>
  <si>
    <t>感懷</t>
  </si>
  <si>
    <t>期望值</t>
    <phoneticPr fontId="2" type="noConversion"/>
  </si>
  <si>
    <t>原始(O)</t>
    <phoneticPr fontId="2" type="noConversion"/>
  </si>
  <si>
    <t>期望值\(E)</t>
    <phoneticPr fontId="2" type="noConversion"/>
  </si>
  <si>
    <t>卡方</t>
    <phoneticPr fontId="2" type="noConversion"/>
  </si>
  <si>
    <t>(O-E)^2/E</t>
    <phoneticPr fontId="2" type="noConversion"/>
  </si>
  <si>
    <t>標準化殘差</t>
  </si>
  <si>
    <t>標準化殘差</t>
    <phoneticPr fontId="2" type="noConversion"/>
  </si>
  <si>
    <t>果實</t>
  </si>
  <si>
    <t>鳥禽</t>
  </si>
  <si>
    <t>昆蟲</t>
  </si>
  <si>
    <t>魚類</t>
  </si>
  <si>
    <t>其他</t>
  </si>
  <si>
    <t>兩棲</t>
    <phoneticPr fontId="2" type="noConversion"/>
  </si>
  <si>
    <t>Z</t>
    <phoneticPr fontId="2" type="noConversion"/>
  </si>
  <si>
    <t>物色類別</t>
  </si>
  <si>
    <r>
      <t>詞彙頻次</t>
    </r>
    <r>
      <rPr>
        <b/>
        <sz val="12"/>
        <color rgb="FFFFFFFF"/>
        <rFont val="Times New Roman"/>
        <family val="1"/>
      </rPr>
      <t>(</t>
    </r>
    <r>
      <rPr>
        <b/>
        <sz val="12"/>
        <color rgb="FFFFFFFF"/>
        <rFont val="標楷體"/>
        <family val="4"/>
        <charset val="136"/>
      </rPr>
      <t>次</t>
    </r>
    <r>
      <rPr>
        <b/>
        <sz val="12"/>
        <color rgb="FFFFFFFF"/>
        <rFont val="Times New Roman"/>
        <family val="1"/>
      </rPr>
      <t>)</t>
    </r>
  </si>
  <si>
    <r>
      <t>相對頻率</t>
    </r>
    <r>
      <rPr>
        <b/>
        <sz val="12"/>
        <color rgb="FFFFFFFF"/>
        <rFont val="Times New Roman"/>
        <family val="1"/>
      </rPr>
      <t>(%)</t>
    </r>
  </si>
  <si>
    <t>兩棲</t>
  </si>
  <si>
    <r>
      <t>觀察次數</t>
    </r>
    <r>
      <rPr>
        <b/>
        <sz val="12"/>
        <color rgb="FFFFFFFF"/>
        <rFont val="Times New Roman"/>
        <family val="1"/>
      </rPr>
      <t>(</t>
    </r>
    <r>
      <rPr>
        <b/>
        <sz val="12"/>
        <color rgb="FFFFFFFF"/>
        <rFont val="標楷體"/>
        <family val="4"/>
        <charset val="136"/>
      </rPr>
      <t>次</t>
    </r>
    <r>
      <rPr>
        <b/>
        <sz val="12"/>
        <color rgb="FFFFFFFF"/>
        <rFont val="Times New Roman"/>
        <family val="1"/>
      </rPr>
      <t>)</t>
    </r>
  </si>
  <si>
    <t>穀物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</si>
</sst>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0"/>
      <name val="新細明體"/>
      <family val="2"/>
      <scheme val="minor"/>
    </font>
    <font>
      <sz val="12"/>
      <color theme="1"/>
      <name val="Times New Roman"/>
      <family val="1"/>
    </font>
    <font>
      <b/>
      <sz val="12"/>
      <color rgb="FFFFFFFF"/>
      <name val="標楷體"/>
      <family val="4"/>
      <charset val="136"/>
    </font>
    <font>
      <b/>
      <sz val="12"/>
      <color rgb="FFFFFFFF"/>
      <name val="Times New Roman"/>
      <family val="1"/>
    </font>
    <font>
      <sz val="12"/>
      <color rgb="FF000000"/>
      <name val="標楷體"/>
      <family val="4"/>
      <charset val="136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9BC2E6"/>
      </left>
      <right/>
      <top style="medium">
        <color rgb="FF9BC2E6"/>
      </top>
      <bottom style="medium">
        <color rgb="FF9BC2E6"/>
      </bottom>
      <diagonal/>
    </border>
    <border>
      <left/>
      <right/>
      <top style="medium">
        <color rgb="FF9BC2E6"/>
      </top>
      <bottom style="medium">
        <color rgb="FF9BC2E6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9BC2E6"/>
      </left>
      <right/>
      <top/>
      <bottom style="medium">
        <color rgb="FF9BC2E6"/>
      </bottom>
      <diagonal/>
    </border>
    <border>
      <left/>
      <right/>
      <top/>
      <bottom style="medium">
        <color rgb="FF9BC2E6"/>
      </bottom>
      <diagonal/>
    </border>
    <border>
      <left/>
      <right style="medium">
        <color rgb="FF9BC2E6"/>
      </right>
      <top/>
      <bottom style="medium">
        <color rgb="FF9BC2E6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29">
    <xf numFmtId="0" fontId="0" fillId="0" borderId="0" xfId="0"/>
    <xf numFmtId="10" fontId="0" fillId="0" borderId="0" xfId="1" applyNumberFormat="1" applyFont="1" applyAlignment="1"/>
    <xf numFmtId="10" fontId="0" fillId="0" borderId="0" xfId="0" applyNumberFormat="1"/>
    <xf numFmtId="0" fontId="3" fillId="2" borderId="1" xfId="0" applyFont="1" applyFill="1" applyBorder="1"/>
    <xf numFmtId="0" fontId="3" fillId="2" borderId="2" xfId="0" applyFont="1" applyFill="1" applyBorder="1"/>
    <xf numFmtId="0" fontId="0" fillId="0" borderId="0" xfId="0" applyAlignment="1">
      <alignment vertical="center"/>
    </xf>
    <xf numFmtId="2" fontId="0" fillId="0" borderId="0" xfId="0" applyNumberFormat="1"/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10" fontId="8" fillId="4" borderId="8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0" fontId="8" fillId="0" borderId="8" xfId="0" applyNumberFormat="1" applyFont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8" fillId="4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2" fontId="8" fillId="4" borderId="7" xfId="0" applyNumberFormat="1" applyFont="1" applyFill="1" applyBorder="1" applyAlignment="1">
      <alignment horizontal="center" vertical="center"/>
    </xf>
    <xf numFmtId="2" fontId="8" fillId="4" borderId="8" xfId="0" applyNumberFormat="1" applyFont="1" applyFill="1" applyBorder="1" applyAlignment="1">
      <alignment horizontal="center" vertical="center"/>
    </xf>
    <xf numFmtId="2" fontId="8" fillId="0" borderId="7" xfId="0" applyNumberFormat="1" applyFont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3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numFmt numFmtId="14" formatCode="0.00%"/>
      <alignment horizontal="general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numFmt numFmtId="14" formatCode="0.00%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標楷體" panose="03000509000000000000" pitchFamily="65" charset="-120"/>
                <a:ea typeface="標楷體" panose="03000509000000000000" pitchFamily="65" charset="-120"/>
                <a:cs typeface="+mn-cs"/>
              </a:defRPr>
            </a:pPr>
            <a:r>
              <a:rPr lang="zh-TW" sz="1600"/>
              <a:t>各情感主題物色統計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標楷體" panose="03000509000000000000" pitchFamily="65" charset="-120"/>
              <a:ea typeface="標楷體" panose="03000509000000000000" pitchFamily="65" charset="-120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工作表1!$A$2</c:f>
              <c:strCache>
                <c:ptCount val="1"/>
                <c:pt idx="0">
                  <c:v>水域意象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工作表1!$B$1:$G$1</c:f>
              <c:strCache>
                <c:ptCount val="6"/>
                <c:pt idx="0">
                  <c:v>愛情</c:v>
                </c:pt>
                <c:pt idx="1">
                  <c:v>婚姻</c:v>
                </c:pt>
                <c:pt idx="2">
                  <c:v>征人差役</c:v>
                </c:pt>
                <c:pt idx="3">
                  <c:v>勞作生活</c:v>
                </c:pt>
                <c:pt idx="4">
                  <c:v>社會政治</c:v>
                </c:pt>
                <c:pt idx="5">
                  <c:v>感懷</c:v>
                </c:pt>
              </c:strCache>
            </c:strRef>
          </c:cat>
          <c:val>
            <c:numRef>
              <c:f>工作表1!$B$2:$G$2</c:f>
              <c:numCache>
                <c:formatCode>General</c:formatCode>
                <c:ptCount val="6"/>
                <c:pt idx="0">
                  <c:v>58</c:v>
                </c:pt>
                <c:pt idx="1">
                  <c:v>14</c:v>
                </c:pt>
                <c:pt idx="2">
                  <c:v>8</c:v>
                </c:pt>
                <c:pt idx="3">
                  <c:v>7</c:v>
                </c:pt>
                <c:pt idx="4">
                  <c:v>21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B-4D9C-8A26-69D4EBDC29DA}"/>
            </c:ext>
          </c:extLst>
        </c:ser>
        <c:ser>
          <c:idx val="1"/>
          <c:order val="1"/>
          <c:tx>
            <c:strRef>
              <c:f>工作表1!$A$3</c:f>
              <c:strCache>
                <c:ptCount val="1"/>
                <c:pt idx="0">
                  <c:v>植物意象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工作表1!$B$1:$G$1</c:f>
              <c:strCache>
                <c:ptCount val="6"/>
                <c:pt idx="0">
                  <c:v>愛情</c:v>
                </c:pt>
                <c:pt idx="1">
                  <c:v>婚姻</c:v>
                </c:pt>
                <c:pt idx="2">
                  <c:v>征人差役</c:v>
                </c:pt>
                <c:pt idx="3">
                  <c:v>勞作生活</c:v>
                </c:pt>
                <c:pt idx="4">
                  <c:v>社會政治</c:v>
                </c:pt>
                <c:pt idx="5">
                  <c:v>感懷</c:v>
                </c:pt>
              </c:strCache>
            </c:strRef>
          </c:cat>
          <c:val>
            <c:numRef>
              <c:f>工作表1!$B$3:$G$3</c:f>
              <c:numCache>
                <c:formatCode>General</c:formatCode>
                <c:ptCount val="6"/>
                <c:pt idx="0">
                  <c:v>115</c:v>
                </c:pt>
                <c:pt idx="1">
                  <c:v>72</c:v>
                </c:pt>
                <c:pt idx="2">
                  <c:v>28</c:v>
                </c:pt>
                <c:pt idx="3">
                  <c:v>52</c:v>
                </c:pt>
                <c:pt idx="4">
                  <c:v>65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2B-4D9C-8A26-69D4EBDC29DA}"/>
            </c:ext>
          </c:extLst>
        </c:ser>
        <c:ser>
          <c:idx val="2"/>
          <c:order val="2"/>
          <c:tx>
            <c:strRef>
              <c:f>工作表1!$A$4</c:f>
              <c:strCache>
                <c:ptCount val="1"/>
                <c:pt idx="0">
                  <c:v>動物意象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工作表1!$B$1:$G$1</c:f>
              <c:strCache>
                <c:ptCount val="6"/>
                <c:pt idx="0">
                  <c:v>愛情</c:v>
                </c:pt>
                <c:pt idx="1">
                  <c:v>婚姻</c:v>
                </c:pt>
                <c:pt idx="2">
                  <c:v>征人差役</c:v>
                </c:pt>
                <c:pt idx="3">
                  <c:v>勞作生活</c:v>
                </c:pt>
                <c:pt idx="4">
                  <c:v>社會政治</c:v>
                </c:pt>
                <c:pt idx="5">
                  <c:v>感懷</c:v>
                </c:pt>
              </c:strCache>
            </c:strRef>
          </c:cat>
          <c:val>
            <c:numRef>
              <c:f>工作表1!$B$4:$G$4</c:f>
              <c:numCache>
                <c:formatCode>General</c:formatCode>
                <c:ptCount val="6"/>
                <c:pt idx="0">
                  <c:v>33</c:v>
                </c:pt>
                <c:pt idx="1">
                  <c:v>47</c:v>
                </c:pt>
                <c:pt idx="2">
                  <c:v>45</c:v>
                </c:pt>
                <c:pt idx="3">
                  <c:v>43</c:v>
                </c:pt>
                <c:pt idx="4">
                  <c:v>63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2B-4D9C-8A26-69D4EBDC29DA}"/>
            </c:ext>
          </c:extLst>
        </c:ser>
        <c:ser>
          <c:idx val="3"/>
          <c:order val="3"/>
          <c:tx>
            <c:strRef>
              <c:f>工作表1!$A$5</c:f>
              <c:strCache>
                <c:ptCount val="1"/>
                <c:pt idx="0">
                  <c:v>天象氣候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工作表1!$B$1:$G$1</c:f>
              <c:strCache>
                <c:ptCount val="6"/>
                <c:pt idx="0">
                  <c:v>愛情</c:v>
                </c:pt>
                <c:pt idx="1">
                  <c:v>婚姻</c:v>
                </c:pt>
                <c:pt idx="2">
                  <c:v>征人差役</c:v>
                </c:pt>
                <c:pt idx="3">
                  <c:v>勞作生活</c:v>
                </c:pt>
                <c:pt idx="4">
                  <c:v>社會政治</c:v>
                </c:pt>
                <c:pt idx="5">
                  <c:v>感懷</c:v>
                </c:pt>
              </c:strCache>
            </c:strRef>
          </c:cat>
          <c:val>
            <c:numRef>
              <c:f>工作表1!$B$5:$G$5</c:f>
              <c:numCache>
                <c:formatCode>General</c:formatCode>
                <c:ptCount val="6"/>
                <c:pt idx="0">
                  <c:v>36</c:v>
                </c:pt>
                <c:pt idx="1">
                  <c:v>36</c:v>
                </c:pt>
                <c:pt idx="2">
                  <c:v>26</c:v>
                </c:pt>
                <c:pt idx="3">
                  <c:v>9</c:v>
                </c:pt>
                <c:pt idx="4">
                  <c:v>24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2B-4D9C-8A26-69D4EBDC29DA}"/>
            </c:ext>
          </c:extLst>
        </c:ser>
        <c:ser>
          <c:idx val="4"/>
          <c:order val="4"/>
          <c:tx>
            <c:strRef>
              <c:f>工作表1!$A$6</c:f>
              <c:strCache>
                <c:ptCount val="1"/>
                <c:pt idx="0">
                  <c:v>地景環境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工作表1!$B$1:$G$1</c:f>
              <c:strCache>
                <c:ptCount val="6"/>
                <c:pt idx="0">
                  <c:v>愛情</c:v>
                </c:pt>
                <c:pt idx="1">
                  <c:v>婚姻</c:v>
                </c:pt>
                <c:pt idx="2">
                  <c:v>征人差役</c:v>
                </c:pt>
                <c:pt idx="3">
                  <c:v>勞作生活</c:v>
                </c:pt>
                <c:pt idx="4">
                  <c:v>社會政治</c:v>
                </c:pt>
                <c:pt idx="5">
                  <c:v>感懷</c:v>
                </c:pt>
              </c:strCache>
            </c:strRef>
          </c:cat>
          <c:val>
            <c:numRef>
              <c:f>工作表1!$B$6:$G$6</c:f>
              <c:numCache>
                <c:formatCode>General</c:formatCode>
                <c:ptCount val="6"/>
                <c:pt idx="0">
                  <c:v>48</c:v>
                </c:pt>
                <c:pt idx="1">
                  <c:v>21</c:v>
                </c:pt>
                <c:pt idx="2">
                  <c:v>20</c:v>
                </c:pt>
                <c:pt idx="3">
                  <c:v>5</c:v>
                </c:pt>
                <c:pt idx="4">
                  <c:v>28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2B-4D9C-8A26-69D4EBDC29DA}"/>
            </c:ext>
          </c:extLst>
        </c:ser>
        <c:ser>
          <c:idx val="5"/>
          <c:order val="5"/>
          <c:tx>
            <c:strRef>
              <c:f>工作表1!$A$7</c:f>
              <c:strCache>
                <c:ptCount val="1"/>
                <c:pt idx="0">
                  <c:v>時序季節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工作表1!$B$1:$G$1</c:f>
              <c:strCache>
                <c:ptCount val="6"/>
                <c:pt idx="0">
                  <c:v>愛情</c:v>
                </c:pt>
                <c:pt idx="1">
                  <c:v>婚姻</c:v>
                </c:pt>
                <c:pt idx="2">
                  <c:v>征人差役</c:v>
                </c:pt>
                <c:pt idx="3">
                  <c:v>勞作生活</c:v>
                </c:pt>
                <c:pt idx="4">
                  <c:v>社會政治</c:v>
                </c:pt>
                <c:pt idx="5">
                  <c:v>感懷</c:v>
                </c:pt>
              </c:strCache>
            </c:strRef>
          </c:cat>
          <c:val>
            <c:numRef>
              <c:f>工作表1!$B$7:$G$7</c:f>
              <c:numCache>
                <c:formatCode>General</c:formatCode>
                <c:ptCount val="6"/>
                <c:pt idx="0">
                  <c:v>10</c:v>
                </c:pt>
                <c:pt idx="1">
                  <c:v>27</c:v>
                </c:pt>
                <c:pt idx="2">
                  <c:v>16</c:v>
                </c:pt>
                <c:pt idx="3">
                  <c:v>55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72B-4D9C-8A26-69D4EBDC29DA}"/>
            </c:ext>
          </c:extLst>
        </c:ser>
        <c:ser>
          <c:idx val="6"/>
          <c:order val="6"/>
          <c:tx>
            <c:strRef>
              <c:f>工作表1!$A$8</c:f>
              <c:strCache>
                <c:ptCount val="1"/>
                <c:pt idx="0">
                  <c:v>人化自然活動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工作表1!$B$1:$G$1</c:f>
              <c:strCache>
                <c:ptCount val="6"/>
                <c:pt idx="0">
                  <c:v>愛情</c:v>
                </c:pt>
                <c:pt idx="1">
                  <c:v>婚姻</c:v>
                </c:pt>
                <c:pt idx="2">
                  <c:v>征人差役</c:v>
                </c:pt>
                <c:pt idx="3">
                  <c:v>勞作生活</c:v>
                </c:pt>
                <c:pt idx="4">
                  <c:v>社會政治</c:v>
                </c:pt>
                <c:pt idx="5">
                  <c:v>感懷</c:v>
                </c:pt>
              </c:strCache>
            </c:strRef>
          </c:cat>
          <c:val>
            <c:numRef>
              <c:f>工作表1!$B$8:$G$8</c:f>
              <c:numCache>
                <c:formatCode>General</c:formatCode>
                <c:ptCount val="6"/>
                <c:pt idx="0">
                  <c:v>50</c:v>
                </c:pt>
                <c:pt idx="1">
                  <c:v>28</c:v>
                </c:pt>
                <c:pt idx="2">
                  <c:v>17</c:v>
                </c:pt>
                <c:pt idx="3">
                  <c:v>45</c:v>
                </c:pt>
                <c:pt idx="4">
                  <c:v>32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2B-4D9C-8A26-69D4EBDC2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966735"/>
        <c:axId val="766278207"/>
      </c:barChart>
      <c:catAx>
        <c:axId val="81896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標楷體" panose="03000509000000000000" pitchFamily="65" charset="-12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766278207"/>
        <c:crosses val="autoZero"/>
        <c:auto val="1"/>
        <c:lblAlgn val="ctr"/>
        <c:lblOffset val="100"/>
        <c:noMultiLvlLbl val="0"/>
      </c:catAx>
      <c:valAx>
        <c:axId val="76627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endParaRPr lang="zh-TW"/>
          </a:p>
        </c:txPr>
        <c:crossAx val="81896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標楷體" panose="03000509000000000000" pitchFamily="65" charset="-120"/>
              <a:ea typeface="標楷體" panose="03000509000000000000" pitchFamily="65" charset="-120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標楷體" panose="03000509000000000000" pitchFamily="65" charset="-120"/>
          <a:ea typeface="標楷體" panose="03000509000000000000" pitchFamily="65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17</xdr:col>
      <xdr:colOff>304800</xdr:colOff>
      <xdr:row>18</xdr:row>
      <xdr:rowOff>114301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B7BE764-B9B3-48C7-91D3-583E0FEF4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C8177F-7888-48B4-992E-61A16688A54F}" name="表格1" displayName="表格1" ref="A23:C30" totalsRowShown="0">
  <autoFilter ref="A23:C30" xr:uid="{9C8B6933-EDDA-493F-AE4D-50AD291B5EC6}"/>
  <tableColumns count="3">
    <tableColumn id="1" xr3:uid="{1ED248EF-F553-4840-853A-47EC0AE5BE18}" name="欄1"/>
    <tableColumn id="2" xr3:uid="{AF4D279C-16B8-4423-8F0E-725B2FB74AA4}" name="詞彙頻次(次)">
      <calculatedColumnFormula>I2</calculatedColumnFormula>
    </tableColumn>
    <tableColumn id="3" xr3:uid="{1312C3BB-F1D1-4189-A147-EC460D937304}" name="相對頻率(%)" dataDxfId="30" dataCellStyle="百分比">
      <calculatedColumnFormula>B24/$B$32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15F2C6-D85D-4C09-90FB-9C202E56150F}" name="表格2" displayName="表格2" ref="F23:J43" totalsRowShown="0" headerRowDxfId="29" dataDxfId="28">
  <autoFilter ref="F23:J43" xr:uid="{C1830A39-9D9C-4255-B963-DF93DD17792A}"/>
  <tableColumns count="5">
    <tableColumn id="1" xr3:uid="{D0EAF4BA-63C3-44DD-B571-892C51D5AF0E}" name="排名" dataDxfId="27"/>
    <tableColumn id="2" xr3:uid="{9E780C5B-D021-4271-8C6D-4051D4221A60}" name="詞彙" dataDxfId="26"/>
    <tableColumn id="3" xr3:uid="{554F87E5-2979-4F4E-9FBF-60D2CA39534D}" name="總頻次" dataDxfId="25"/>
    <tableColumn id="4" xr3:uid="{B21E237B-15F2-4FA3-B450-6235D7B51FA2}" name="相對頻率(%)" dataDxfId="24"/>
    <tableColumn id="5" xr3:uid="{3E3D91B9-4A86-4EDC-AC5E-321D5EE3B926}" name="意象大類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DA7569-E008-4642-A0A7-FE1DE8EBA76F}" name="表格3" displayName="表格3" ref="M23:O28" totalsRowShown="0">
  <autoFilter ref="M23:O28" xr:uid="{2BF19D4F-EAD2-4BE1-97D5-C72B95D0A4ED}"/>
  <tableColumns count="3">
    <tableColumn id="1" xr3:uid="{5D2BEBA4-48AE-49E9-A740-2CD1D7A5D97C}" name="植物意象"/>
    <tableColumn id="2" xr3:uid="{810ABC46-33C5-4F47-B09A-C31C27D243EB}" name="詞彙頻次(次)"/>
    <tableColumn id="3" xr3:uid="{C441E861-4ED4-4EC9-B22D-6457974285AE}" name="相對頻率(%)" dataDxfId="22" dataCellStyle="百分比">
      <calculatedColumnFormula>N24/$N$30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12A053-1E8D-4162-8AA9-00FA27913C92}" name="表格4" displayName="表格4" ref="R23:T29" totalsRowShown="0">
  <autoFilter ref="R23:T29" xr:uid="{86165204-FF14-49E8-9673-9C260ACDB9BC}"/>
  <tableColumns count="3">
    <tableColumn id="1" xr3:uid="{2BB23CE7-8A91-447D-B869-C39CB7C6045F}" name="動物意象"/>
    <tableColumn id="2" xr3:uid="{AA5286D7-AD6B-49E8-8216-B711C928EE27}" name="詞彙頻次(次)"/>
    <tableColumn id="3" xr3:uid="{31CA02D8-1B31-4AD1-9C7F-9B7E1AC0636B}" name="相對頻率(%)" dataDxfId="21" dataCellStyle="百分比">
      <calculatedColumnFormula>S24/$S$31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7CF9F3-7B05-4CD3-8209-189A0D7C64A5}" name="表格5" displayName="表格5" ref="M36:T44" totalsRowShown="0">
  <autoFilter ref="M36:T44" xr:uid="{F15B5088-D0F9-4A5F-A45A-B0C050FA0873}"/>
  <tableColumns count="8">
    <tableColumn id="1" xr3:uid="{76B89300-38D9-47EF-AD41-18EAED870B44}" name="欄1"/>
    <tableColumn id="2" xr3:uid="{47A14BA2-1FE0-493B-A64E-FACD2856A9E9}" name="愛情"/>
    <tableColumn id="3" xr3:uid="{F8842D88-643A-44C2-89E4-4D668187B6AD}" name="婚姻"/>
    <tableColumn id="4" xr3:uid="{C5BD8143-CA6A-4DE4-8E7D-E34D4D0BFB12}" name="征人差役"/>
    <tableColumn id="5" xr3:uid="{4D7D5B06-6DFD-40DA-B9DF-8EC45ECDA05C}" name="勞作生活"/>
    <tableColumn id="6" xr3:uid="{1F95D4CD-8A81-4378-A370-A0C3433B0C31}" name="社會政治"/>
    <tableColumn id="7" xr3:uid="{D3C62BC5-1133-412B-B954-FFDD4047AD40}" name="感懷"/>
    <tableColumn id="8" xr3:uid="{46B4932B-8E5E-45C7-BBFB-B75AEF8D3A95}" name="總和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7026CB-EABB-4AB8-9E5F-FBA172C5BA78}" name="表格8" displayName="表格8" ref="A71:H78" totalsRowShown="0">
  <autoFilter ref="A71:H78" xr:uid="{7DA71F53-113D-4DD3-9541-1E38846ED451}"/>
  <tableColumns count="8">
    <tableColumn id="1" xr3:uid="{2B8B62BA-F3B0-4D41-BF5F-09BF2492A801}" name="標準化殘差"/>
    <tableColumn id="2" xr3:uid="{0C34C15A-AF50-4034-9357-7654F9AD7130}" name="Z" dataDxfId="20"/>
    <tableColumn id="3" xr3:uid="{FB7306F1-B9C4-4A38-A840-B5F672D02BD7}" name="愛情" dataDxfId="19"/>
    <tableColumn id="4" xr3:uid="{141ABAE6-8176-4AE0-8319-090AAD322B74}" name="婚姻" dataDxfId="18"/>
    <tableColumn id="5" xr3:uid="{86348135-5641-40BD-B42E-31AEDB87A017}" name="征人差役" dataDxfId="17"/>
    <tableColumn id="6" xr3:uid="{1E8729AA-7F1E-4890-BF76-936203572833}" name="勞作生活" dataDxfId="16"/>
    <tableColumn id="7" xr3:uid="{114C20CC-8BA3-41A9-A97D-BA76CB48BE09}" name="社會政治" dataDxfId="15"/>
    <tableColumn id="8" xr3:uid="{089AB8B7-78C8-43D2-A78C-0E43D03BDF44}" name="感懷" dataDxfId="1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ABF1C21-9707-49F7-8AAF-3A809B95F1E6}" name="表格9" displayName="表格9" ref="A102:H107" totalsRowShown="0">
  <autoFilter ref="A102:H107" xr:uid="{89010BCE-0E77-48D9-BFBF-80D4283829E0}"/>
  <tableColumns count="8">
    <tableColumn id="1" xr3:uid="{390BC721-B34F-4738-8251-129D58177A45}" name="標準化殘差"/>
    <tableColumn id="2" xr3:uid="{6535902F-E5FC-4B29-828B-E3272F0CCDA6}" name="Z" dataDxfId="13"/>
    <tableColumn id="3" xr3:uid="{2E1CD68A-FF8F-46D8-9C6D-3BD1917E97FF}" name="愛情" dataDxfId="12"/>
    <tableColumn id="4" xr3:uid="{098BE160-F55E-4CD0-9420-8F6169EE81C0}" name="婚姻" dataDxfId="11"/>
    <tableColumn id="5" xr3:uid="{FB871EF2-8638-4C58-A315-280626600862}" name="征人差役" dataDxfId="10"/>
    <tableColumn id="6" xr3:uid="{7CD3D22D-9506-4974-995C-059B8F4AC2BD}" name="勞作生活" dataDxfId="9"/>
    <tableColumn id="7" xr3:uid="{3CC3DB54-566C-42EF-B5ED-A9B3C28C23AB}" name="社會政治" dataDxfId="8"/>
    <tableColumn id="8" xr3:uid="{840F3291-6FBC-445E-A360-B3038DCE0FB8}" name="感懷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2DE0C51-2A4B-4558-9F94-A812C7C77A31}" name="表格10" displayName="表格10" ref="A132:H138" totalsRowShown="0">
  <autoFilter ref="A132:H138" xr:uid="{9025916F-BB8F-48D3-9739-C0B41289B7F9}"/>
  <tableColumns count="8">
    <tableColumn id="1" xr3:uid="{BD8AE72E-8DBE-472A-B861-D0953ED88522}" name="標準化殘差"/>
    <tableColumn id="2" xr3:uid="{62860CA7-46BA-4D99-940D-63A71C3EA2E3}" name="Z" dataDxfId="6"/>
    <tableColumn id="3" xr3:uid="{ECF707A9-55F6-4942-B843-50F2E0368EDD}" name="愛情" dataDxfId="5"/>
    <tableColumn id="4" xr3:uid="{C0BA2D68-6F21-4561-97EA-324125D8B33D}" name="婚姻" dataDxfId="4"/>
    <tableColumn id="5" xr3:uid="{05BE0D92-D869-4EC8-B3E8-F1A1CF35DFA7}" name="征人差役" dataDxfId="3"/>
    <tableColumn id="6" xr3:uid="{75168639-B0AD-4FC9-ACCB-B0E17F62BDC7}" name="勞作生活" dataDxfId="2"/>
    <tableColumn id="7" xr3:uid="{DA0050F6-90C0-4647-A1C4-E48B520D5BE5}" name="社會政治" dataDxfId="1"/>
    <tableColumn id="8" xr3:uid="{B9E65ECE-CEA0-44D4-B49F-45D34984C21C}" name="感懷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8"/>
  <sheetViews>
    <sheetView topLeftCell="B106" workbookViewId="0">
      <selection activeCell="K135" sqref="K135"/>
    </sheetView>
  </sheetViews>
  <sheetFormatPr defaultRowHeight="15.75" x14ac:dyDescent="0.25"/>
  <cols>
    <col min="1" max="1" width="14.5703125" customWidth="1"/>
    <col min="2" max="2" width="16.28515625" customWidth="1"/>
    <col min="3" max="3" width="15.85546875" customWidth="1"/>
    <col min="4" max="6" width="12.28515625" customWidth="1"/>
    <col min="7" max="7" width="12.28515625" bestFit="1" customWidth="1"/>
    <col min="8" max="8" width="10" customWidth="1"/>
    <col min="9" max="9" width="15.85546875" customWidth="1"/>
    <col min="10" max="10" width="12.28515625" customWidth="1"/>
    <col min="11" max="11" width="10.28515625" bestFit="1" customWidth="1"/>
    <col min="13" max="13" width="12.28515625" customWidth="1"/>
    <col min="14" max="14" width="16.28515625" customWidth="1"/>
    <col min="15" max="15" width="15.85546875" customWidth="1"/>
    <col min="16" max="18" width="12.28515625" customWidth="1"/>
    <col min="19" max="19" width="16.28515625" customWidth="1"/>
    <col min="20" max="20" width="15.85546875" customWidth="1"/>
  </cols>
  <sheetData>
    <row r="1" spans="1:9" x14ac:dyDescent="0.25">
      <c r="B1" t="s">
        <v>1</v>
      </c>
      <c r="C1" t="s">
        <v>3</v>
      </c>
      <c r="D1" t="s">
        <v>11</v>
      </c>
      <c r="E1" t="s">
        <v>12</v>
      </c>
      <c r="F1" t="s">
        <v>13</v>
      </c>
      <c r="G1" t="s">
        <v>14</v>
      </c>
      <c r="I1" t="s">
        <v>15</v>
      </c>
    </row>
    <row r="2" spans="1:9" x14ac:dyDescent="0.25">
      <c r="A2" t="s">
        <v>4</v>
      </c>
      <c r="B2">
        <v>58</v>
      </c>
      <c r="C2">
        <v>14</v>
      </c>
      <c r="D2">
        <v>8</v>
      </c>
      <c r="E2">
        <v>7</v>
      </c>
      <c r="F2">
        <v>21</v>
      </c>
      <c r="G2">
        <v>10</v>
      </c>
      <c r="I2">
        <f>SUM(B2:G2)</f>
        <v>118</v>
      </c>
    </row>
    <row r="3" spans="1:9" x14ac:dyDescent="0.25">
      <c r="A3" t="s">
        <v>5</v>
      </c>
      <c r="B3">
        <v>115</v>
      </c>
      <c r="C3">
        <v>72</v>
      </c>
      <c r="D3">
        <v>28</v>
      </c>
      <c r="E3">
        <v>52</v>
      </c>
      <c r="F3">
        <v>65</v>
      </c>
      <c r="G3">
        <v>17</v>
      </c>
      <c r="I3">
        <f t="shared" ref="I3:I8" si="0">SUM(B3:G3)</f>
        <v>349</v>
      </c>
    </row>
    <row r="4" spans="1:9" x14ac:dyDescent="0.25">
      <c r="A4" t="s">
        <v>6</v>
      </c>
      <c r="B4">
        <v>33</v>
      </c>
      <c r="C4">
        <v>47</v>
      </c>
      <c r="D4">
        <v>45</v>
      </c>
      <c r="E4">
        <v>43</v>
      </c>
      <c r="F4">
        <v>63</v>
      </c>
      <c r="G4">
        <v>7</v>
      </c>
      <c r="I4">
        <f t="shared" si="0"/>
        <v>238</v>
      </c>
    </row>
    <row r="5" spans="1:9" x14ac:dyDescent="0.25">
      <c r="A5" t="s">
        <v>7</v>
      </c>
      <c r="B5">
        <v>36</v>
      </c>
      <c r="C5">
        <v>36</v>
      </c>
      <c r="D5">
        <v>26</v>
      </c>
      <c r="E5">
        <v>9</v>
      </c>
      <c r="F5">
        <v>24</v>
      </c>
      <c r="G5">
        <v>8</v>
      </c>
      <c r="I5">
        <f t="shared" si="0"/>
        <v>139</v>
      </c>
    </row>
    <row r="6" spans="1:9" x14ac:dyDescent="0.25">
      <c r="A6" t="s">
        <v>8</v>
      </c>
      <c r="B6">
        <v>48</v>
      </c>
      <c r="C6">
        <v>21</v>
      </c>
      <c r="D6">
        <v>20</v>
      </c>
      <c r="E6">
        <v>5</v>
      </c>
      <c r="F6">
        <v>28</v>
      </c>
      <c r="G6">
        <v>9</v>
      </c>
      <c r="I6">
        <f t="shared" si="0"/>
        <v>131</v>
      </c>
    </row>
    <row r="7" spans="1:9" x14ac:dyDescent="0.25">
      <c r="A7" t="s">
        <v>9</v>
      </c>
      <c r="B7">
        <v>10</v>
      </c>
      <c r="C7">
        <v>27</v>
      </c>
      <c r="D7">
        <v>16</v>
      </c>
      <c r="E7">
        <v>55</v>
      </c>
      <c r="F7">
        <v>4</v>
      </c>
      <c r="G7">
        <v>2</v>
      </c>
      <c r="I7">
        <f>SUM(B7:G7)</f>
        <v>114</v>
      </c>
    </row>
    <row r="8" spans="1:9" x14ac:dyDescent="0.25">
      <c r="A8" t="s">
        <v>10</v>
      </c>
      <c r="B8">
        <v>50</v>
      </c>
      <c r="C8">
        <v>28</v>
      </c>
      <c r="D8">
        <v>17</v>
      </c>
      <c r="E8">
        <v>45</v>
      </c>
      <c r="F8">
        <v>32</v>
      </c>
      <c r="G8">
        <v>6</v>
      </c>
      <c r="I8">
        <f t="shared" si="0"/>
        <v>178</v>
      </c>
    </row>
    <row r="11" spans="1:9" x14ac:dyDescent="0.25">
      <c r="I11">
        <f>SUM(I2:I8)</f>
        <v>1267</v>
      </c>
    </row>
    <row r="23" spans="1:20" x14ac:dyDescent="0.25">
      <c r="A23" t="s">
        <v>19</v>
      </c>
      <c r="B23" t="s">
        <v>16</v>
      </c>
      <c r="C23" t="s">
        <v>18</v>
      </c>
      <c r="F23" s="5" t="s">
        <v>20</v>
      </c>
      <c r="G23" s="5" t="s">
        <v>21</v>
      </c>
      <c r="H23" s="5" t="s">
        <v>22</v>
      </c>
      <c r="I23" s="5" t="s">
        <v>17</v>
      </c>
      <c r="J23" s="5" t="s">
        <v>23</v>
      </c>
      <c r="M23" t="s">
        <v>5</v>
      </c>
      <c r="N23" s="3" t="s">
        <v>16</v>
      </c>
      <c r="O23" s="4" t="s">
        <v>18</v>
      </c>
      <c r="R23" t="s">
        <v>53</v>
      </c>
      <c r="S23" s="3" t="s">
        <v>16</v>
      </c>
      <c r="T23" s="4" t="s">
        <v>18</v>
      </c>
    </row>
    <row r="24" spans="1:20" x14ac:dyDescent="0.25">
      <c r="A24" t="s">
        <v>4</v>
      </c>
      <c r="B24">
        <f>I2</f>
        <v>118</v>
      </c>
      <c r="C24" s="1">
        <f>B24/$B$32</f>
        <v>9.3133385951065503E-2</v>
      </c>
      <c r="F24" s="5">
        <v>1</v>
      </c>
      <c r="G24" s="5" t="s">
        <v>24</v>
      </c>
      <c r="H24" s="5">
        <v>44</v>
      </c>
      <c r="I24" s="5">
        <v>3.49</v>
      </c>
      <c r="J24" s="5" t="s">
        <v>25</v>
      </c>
      <c r="M24" t="s">
        <v>50</v>
      </c>
      <c r="N24">
        <v>143</v>
      </c>
      <c r="O24" s="1">
        <f>N24/$N$30</f>
        <v>0.40974212034383956</v>
      </c>
      <c r="R24" t="s">
        <v>56</v>
      </c>
      <c r="S24">
        <v>116</v>
      </c>
      <c r="T24" s="1">
        <f>S24/$S$31</f>
        <v>0.48739495798319327</v>
      </c>
    </row>
    <row r="25" spans="1:20" x14ac:dyDescent="0.25">
      <c r="A25" t="s">
        <v>5</v>
      </c>
      <c r="B25">
        <f t="shared" ref="B25:B30" si="1">I3</f>
        <v>349</v>
      </c>
      <c r="C25" s="1">
        <f t="shared" ref="C25:C30" si="2">B25/$B$32</f>
        <v>0.27545382794001577</v>
      </c>
      <c r="F25" s="5">
        <v>2</v>
      </c>
      <c r="G25" s="5" t="s">
        <v>26</v>
      </c>
      <c r="H25" s="5">
        <v>26</v>
      </c>
      <c r="I25" s="5">
        <v>2.06</v>
      </c>
      <c r="J25" s="5" t="s">
        <v>27</v>
      </c>
      <c r="M25" t="s">
        <v>49</v>
      </c>
      <c r="N25">
        <v>112</v>
      </c>
      <c r="O25" s="1">
        <f t="shared" ref="O25:O28" si="3">N25/$N$30</f>
        <v>0.3209169054441261</v>
      </c>
      <c r="R25" t="s">
        <v>54</v>
      </c>
      <c r="S25">
        <v>71</v>
      </c>
      <c r="T25" s="1">
        <f t="shared" ref="T25:T29" si="4">S25/$S$31</f>
        <v>0.29831932773109243</v>
      </c>
    </row>
    <row r="26" spans="1:20" x14ac:dyDescent="0.25">
      <c r="A26" t="s">
        <v>6</v>
      </c>
      <c r="B26">
        <f t="shared" si="1"/>
        <v>238</v>
      </c>
      <c r="C26" s="1">
        <f t="shared" si="2"/>
        <v>0.18784530386740331</v>
      </c>
      <c r="F26" s="5">
        <v>3</v>
      </c>
      <c r="G26" s="5" t="s">
        <v>28</v>
      </c>
      <c r="H26" s="5">
        <v>23</v>
      </c>
      <c r="I26" s="5">
        <v>1.83</v>
      </c>
      <c r="J26" s="5" t="s">
        <v>29</v>
      </c>
      <c r="M26" t="s">
        <v>51</v>
      </c>
      <c r="N26">
        <v>36</v>
      </c>
      <c r="O26" s="1">
        <f t="shared" si="3"/>
        <v>0.10315186246418338</v>
      </c>
      <c r="R26" t="s">
        <v>57</v>
      </c>
      <c r="S26">
        <v>24</v>
      </c>
      <c r="T26" s="1">
        <f t="shared" si="4"/>
        <v>0.10084033613445378</v>
      </c>
    </row>
    <row r="27" spans="1:20" x14ac:dyDescent="0.25">
      <c r="A27" t="s">
        <v>7</v>
      </c>
      <c r="B27">
        <f t="shared" si="1"/>
        <v>139</v>
      </c>
      <c r="C27" s="1">
        <f t="shared" si="2"/>
        <v>0.10970797158642462</v>
      </c>
      <c r="F27" s="5">
        <v>4</v>
      </c>
      <c r="G27" s="5" t="s">
        <v>30</v>
      </c>
      <c r="H27" s="5">
        <v>18</v>
      </c>
      <c r="I27" s="5">
        <v>1.43</v>
      </c>
      <c r="J27" s="5" t="s">
        <v>6</v>
      </c>
      <c r="M27" t="s">
        <v>52</v>
      </c>
      <c r="N27">
        <v>35</v>
      </c>
      <c r="O27" s="1">
        <f t="shared" si="3"/>
        <v>0.10028653295128939</v>
      </c>
      <c r="R27" t="s">
        <v>58</v>
      </c>
      <c r="S27">
        <v>19</v>
      </c>
      <c r="T27" s="1">
        <f t="shared" si="4"/>
        <v>7.9831932773109238E-2</v>
      </c>
    </row>
    <row r="28" spans="1:20" x14ac:dyDescent="0.25">
      <c r="A28" t="s">
        <v>8</v>
      </c>
      <c r="B28">
        <f t="shared" si="1"/>
        <v>131</v>
      </c>
      <c r="C28" s="1">
        <f t="shared" si="2"/>
        <v>0.10339384372533544</v>
      </c>
      <c r="F28" s="5">
        <v>5</v>
      </c>
      <c r="G28" s="5" t="s">
        <v>31</v>
      </c>
      <c r="H28" s="5">
        <v>16</v>
      </c>
      <c r="I28" s="5">
        <v>1.27</v>
      </c>
      <c r="J28" s="5" t="s">
        <v>27</v>
      </c>
      <c r="M28" t="s">
        <v>48</v>
      </c>
      <c r="N28">
        <v>23</v>
      </c>
      <c r="O28" s="1">
        <f t="shared" si="3"/>
        <v>6.5902578796561598E-2</v>
      </c>
      <c r="R28" t="s">
        <v>55</v>
      </c>
      <c r="S28">
        <v>7</v>
      </c>
      <c r="T28" s="1">
        <f t="shared" si="4"/>
        <v>2.9411764705882353E-2</v>
      </c>
    </row>
    <row r="29" spans="1:20" x14ac:dyDescent="0.25">
      <c r="A29" t="s">
        <v>9</v>
      </c>
      <c r="B29">
        <f t="shared" si="1"/>
        <v>114</v>
      </c>
      <c r="C29" s="1">
        <f t="shared" si="2"/>
        <v>8.9976322020520916E-2</v>
      </c>
      <c r="F29" s="5">
        <v>6</v>
      </c>
      <c r="G29" s="5" t="s">
        <v>32</v>
      </c>
      <c r="H29" s="5">
        <v>16</v>
      </c>
      <c r="I29" s="5">
        <v>1.27</v>
      </c>
      <c r="J29" s="5" t="s">
        <v>4</v>
      </c>
      <c r="R29" t="s">
        <v>79</v>
      </c>
      <c r="S29">
        <v>1</v>
      </c>
      <c r="T29" s="1">
        <f t="shared" si="4"/>
        <v>4.2016806722689074E-3</v>
      </c>
    </row>
    <row r="30" spans="1:20" x14ac:dyDescent="0.25">
      <c r="A30" t="s">
        <v>10</v>
      </c>
      <c r="B30">
        <f t="shared" si="1"/>
        <v>178</v>
      </c>
      <c r="C30" s="1">
        <f t="shared" si="2"/>
        <v>0.1404893449092344</v>
      </c>
      <c r="F30" s="5">
        <v>7</v>
      </c>
      <c r="G30" s="5" t="s">
        <v>33</v>
      </c>
      <c r="H30" s="5">
        <v>16</v>
      </c>
      <c r="I30" s="5">
        <v>1.27</v>
      </c>
      <c r="J30" s="5" t="s">
        <v>27</v>
      </c>
      <c r="M30" t="s">
        <v>15</v>
      </c>
      <c r="N30">
        <f>SUM(N24:N28)</f>
        <v>349</v>
      </c>
    </row>
    <row r="31" spans="1:20" x14ac:dyDescent="0.25">
      <c r="C31" s="2"/>
      <c r="F31" s="5">
        <v>8</v>
      </c>
      <c r="G31" s="5" t="s">
        <v>34</v>
      </c>
      <c r="H31" s="5">
        <v>15</v>
      </c>
      <c r="I31" s="5">
        <v>1.19</v>
      </c>
      <c r="J31" s="5" t="s">
        <v>4</v>
      </c>
      <c r="R31" t="s">
        <v>15</v>
      </c>
      <c r="S31">
        <f>SUM(S24:S29)</f>
        <v>238</v>
      </c>
    </row>
    <row r="32" spans="1:20" x14ac:dyDescent="0.25">
      <c r="A32" t="s">
        <v>15</v>
      </c>
      <c r="B32">
        <f>SUM(B24:B30)</f>
        <v>1267</v>
      </c>
      <c r="C32" s="2">
        <f>SUM(C24:C30)</f>
        <v>1</v>
      </c>
      <c r="F32" s="5">
        <v>9</v>
      </c>
      <c r="G32" s="5" t="s">
        <v>35</v>
      </c>
      <c r="H32" s="5">
        <v>15</v>
      </c>
      <c r="I32" s="5">
        <v>1.19</v>
      </c>
      <c r="J32" s="5" t="s">
        <v>27</v>
      </c>
    </row>
    <row r="33" spans="1:20" x14ac:dyDescent="0.25">
      <c r="F33" s="5">
        <v>10</v>
      </c>
      <c r="G33" s="5" t="s">
        <v>36</v>
      </c>
      <c r="H33" s="5">
        <v>14</v>
      </c>
      <c r="I33" s="5">
        <v>1.1100000000000001</v>
      </c>
      <c r="J33" s="5" t="s">
        <v>37</v>
      </c>
    </row>
    <row r="34" spans="1:20" x14ac:dyDescent="0.25">
      <c r="F34" s="5">
        <v>11</v>
      </c>
      <c r="G34" s="5" t="s">
        <v>38</v>
      </c>
      <c r="H34" s="5">
        <v>14</v>
      </c>
      <c r="I34" s="5">
        <v>1.1100000000000001</v>
      </c>
      <c r="J34" s="5" t="s">
        <v>37</v>
      </c>
    </row>
    <row r="35" spans="1:20" x14ac:dyDescent="0.25">
      <c r="F35" s="5">
        <v>12</v>
      </c>
      <c r="G35" s="5" t="s">
        <v>39</v>
      </c>
      <c r="H35" s="5">
        <v>13</v>
      </c>
      <c r="I35" s="5">
        <v>1.03</v>
      </c>
      <c r="J35" s="5" t="s">
        <v>4</v>
      </c>
    </row>
    <row r="36" spans="1:20" x14ac:dyDescent="0.25">
      <c r="F36" s="5">
        <v>13</v>
      </c>
      <c r="G36" s="5" t="s">
        <v>40</v>
      </c>
      <c r="H36" s="5">
        <v>12</v>
      </c>
      <c r="I36" s="5">
        <v>0.95</v>
      </c>
      <c r="J36" s="5" t="s">
        <v>27</v>
      </c>
      <c r="M36" t="s">
        <v>62</v>
      </c>
      <c r="N36" t="s">
        <v>1</v>
      </c>
      <c r="O36" t="s">
        <v>3</v>
      </c>
      <c r="P36" t="s">
        <v>11</v>
      </c>
      <c r="Q36" t="s">
        <v>12</v>
      </c>
      <c r="R36" t="s">
        <v>13</v>
      </c>
      <c r="S36" t="s">
        <v>14</v>
      </c>
      <c r="T36" t="s">
        <v>61</v>
      </c>
    </row>
    <row r="37" spans="1:20" x14ac:dyDescent="0.25">
      <c r="F37" s="5">
        <v>14</v>
      </c>
      <c r="G37" s="5" t="s">
        <v>41</v>
      </c>
      <c r="H37" s="5">
        <v>11</v>
      </c>
      <c r="I37" s="5">
        <v>0.87</v>
      </c>
      <c r="J37" s="5" t="s">
        <v>37</v>
      </c>
      <c r="M37" t="s">
        <v>4</v>
      </c>
      <c r="N37">
        <v>58</v>
      </c>
      <c r="O37">
        <v>14</v>
      </c>
      <c r="P37">
        <v>8</v>
      </c>
      <c r="Q37">
        <v>7</v>
      </c>
      <c r="R37">
        <v>21</v>
      </c>
      <c r="S37">
        <v>10</v>
      </c>
      <c r="T37">
        <f t="shared" ref="T37:T43" si="5">SUM(N37:S37)</f>
        <v>118</v>
      </c>
    </row>
    <row r="38" spans="1:20" x14ac:dyDescent="0.25">
      <c r="F38" s="5">
        <v>15</v>
      </c>
      <c r="G38" s="5" t="s">
        <v>42</v>
      </c>
      <c r="H38" s="5">
        <v>11</v>
      </c>
      <c r="I38" s="5">
        <v>0.87</v>
      </c>
      <c r="J38" s="5" t="s">
        <v>9</v>
      </c>
      <c r="M38" t="s">
        <v>5</v>
      </c>
      <c r="N38">
        <v>115</v>
      </c>
      <c r="O38">
        <v>72</v>
      </c>
      <c r="P38">
        <v>28</v>
      </c>
      <c r="Q38">
        <v>52</v>
      </c>
      <c r="R38">
        <v>65</v>
      </c>
      <c r="S38">
        <v>17</v>
      </c>
      <c r="T38">
        <f t="shared" si="5"/>
        <v>349</v>
      </c>
    </row>
    <row r="39" spans="1:20" x14ac:dyDescent="0.25">
      <c r="F39" s="5">
        <v>16</v>
      </c>
      <c r="G39" s="5" t="s">
        <v>43</v>
      </c>
      <c r="H39" s="5">
        <v>11</v>
      </c>
      <c r="I39" s="5">
        <v>0.87</v>
      </c>
      <c r="J39" s="5" t="s">
        <v>6</v>
      </c>
      <c r="M39" t="s">
        <v>6</v>
      </c>
      <c r="N39">
        <v>33</v>
      </c>
      <c r="O39">
        <v>47</v>
      </c>
      <c r="P39">
        <v>45</v>
      </c>
      <c r="Q39">
        <v>43</v>
      </c>
      <c r="R39">
        <v>63</v>
      </c>
      <c r="S39">
        <v>7</v>
      </c>
      <c r="T39">
        <f t="shared" si="5"/>
        <v>238</v>
      </c>
    </row>
    <row r="40" spans="1:20" x14ac:dyDescent="0.25">
      <c r="F40" s="5">
        <v>17</v>
      </c>
      <c r="G40" s="5" t="s">
        <v>44</v>
      </c>
      <c r="H40" s="5">
        <v>10</v>
      </c>
      <c r="I40" s="5">
        <v>0.79</v>
      </c>
      <c r="J40" s="5" t="s">
        <v>9</v>
      </c>
      <c r="M40" t="s">
        <v>7</v>
      </c>
      <c r="N40">
        <v>36</v>
      </c>
      <c r="O40">
        <v>36</v>
      </c>
      <c r="P40">
        <v>26</v>
      </c>
      <c r="Q40">
        <v>9</v>
      </c>
      <c r="R40">
        <v>24</v>
      </c>
      <c r="S40">
        <v>8</v>
      </c>
      <c r="T40">
        <f t="shared" si="5"/>
        <v>139</v>
      </c>
    </row>
    <row r="41" spans="1:20" x14ac:dyDescent="0.25">
      <c r="F41" s="5">
        <v>18</v>
      </c>
      <c r="G41" s="5" t="s">
        <v>45</v>
      </c>
      <c r="H41" s="5">
        <v>10</v>
      </c>
      <c r="I41" s="5">
        <v>0.79</v>
      </c>
      <c r="J41" s="5" t="s">
        <v>29</v>
      </c>
      <c r="M41" t="s">
        <v>8</v>
      </c>
      <c r="N41">
        <v>48</v>
      </c>
      <c r="O41">
        <v>21</v>
      </c>
      <c r="P41">
        <v>20</v>
      </c>
      <c r="Q41">
        <v>5</v>
      </c>
      <c r="R41">
        <v>28</v>
      </c>
      <c r="S41">
        <v>9</v>
      </c>
      <c r="T41">
        <f t="shared" si="5"/>
        <v>131</v>
      </c>
    </row>
    <row r="42" spans="1:20" x14ac:dyDescent="0.25">
      <c r="F42" s="5">
        <v>19</v>
      </c>
      <c r="G42" s="5" t="s">
        <v>46</v>
      </c>
      <c r="H42" s="5">
        <v>10</v>
      </c>
      <c r="I42" s="5">
        <v>0.79</v>
      </c>
      <c r="J42" s="5" t="s">
        <v>27</v>
      </c>
      <c r="M42" t="s">
        <v>9</v>
      </c>
      <c r="N42">
        <v>10</v>
      </c>
      <c r="O42">
        <v>27</v>
      </c>
      <c r="P42">
        <v>16</v>
      </c>
      <c r="Q42">
        <v>55</v>
      </c>
      <c r="R42">
        <v>4</v>
      </c>
      <c r="S42">
        <v>2</v>
      </c>
      <c r="T42">
        <f t="shared" si="5"/>
        <v>114</v>
      </c>
    </row>
    <row r="43" spans="1:20" x14ac:dyDescent="0.25">
      <c r="F43" s="5">
        <v>20</v>
      </c>
      <c r="G43" s="5" t="s">
        <v>47</v>
      </c>
      <c r="H43" s="5">
        <v>9</v>
      </c>
      <c r="I43" s="5">
        <v>0.71</v>
      </c>
      <c r="J43" s="5" t="s">
        <v>29</v>
      </c>
      <c r="M43" t="s">
        <v>10</v>
      </c>
      <c r="N43">
        <v>50</v>
      </c>
      <c r="O43">
        <v>28</v>
      </c>
      <c r="P43">
        <v>17</v>
      </c>
      <c r="Q43">
        <v>45</v>
      </c>
      <c r="R43">
        <v>32</v>
      </c>
      <c r="S43">
        <v>6</v>
      </c>
      <c r="T43">
        <f t="shared" si="5"/>
        <v>178</v>
      </c>
    </row>
    <row r="44" spans="1:20" x14ac:dyDescent="0.25">
      <c r="F44" s="5"/>
      <c r="M44" t="s">
        <v>61</v>
      </c>
      <c r="N44">
        <f>SUM(N37:N43)</f>
        <v>350</v>
      </c>
      <c r="O44">
        <f t="shared" ref="O44:T44" si="6">SUM(O37:O43)</f>
        <v>245</v>
      </c>
      <c r="P44">
        <f t="shared" si="6"/>
        <v>160</v>
      </c>
      <c r="Q44">
        <f t="shared" si="6"/>
        <v>216</v>
      </c>
      <c r="R44">
        <f t="shared" si="6"/>
        <v>237</v>
      </c>
      <c r="S44">
        <f t="shared" si="6"/>
        <v>59</v>
      </c>
      <c r="T44">
        <f t="shared" si="6"/>
        <v>1267</v>
      </c>
    </row>
    <row r="48" spans="1:20" x14ac:dyDescent="0.25">
      <c r="A48" t="s">
        <v>68</v>
      </c>
      <c r="B48" t="s">
        <v>0</v>
      </c>
      <c r="C48" t="s">
        <v>2</v>
      </c>
      <c r="D48" t="s">
        <v>63</v>
      </c>
      <c r="E48" t="s">
        <v>64</v>
      </c>
      <c r="F48" t="s">
        <v>65</v>
      </c>
      <c r="G48" t="s">
        <v>66</v>
      </c>
      <c r="H48" t="s">
        <v>60</v>
      </c>
      <c r="J48" t="s">
        <v>69</v>
      </c>
      <c r="K48" t="s">
        <v>0</v>
      </c>
      <c r="L48" t="s">
        <v>2</v>
      </c>
      <c r="M48" t="s">
        <v>63</v>
      </c>
      <c r="N48" t="s">
        <v>64</v>
      </c>
      <c r="O48" t="s">
        <v>65</v>
      </c>
      <c r="P48" t="s">
        <v>66</v>
      </c>
    </row>
    <row r="49" spans="1:16" x14ac:dyDescent="0.25">
      <c r="A49" t="s">
        <v>4</v>
      </c>
      <c r="B49">
        <v>58</v>
      </c>
      <c r="C49">
        <v>14</v>
      </c>
      <c r="D49">
        <v>8</v>
      </c>
      <c r="E49">
        <v>7</v>
      </c>
      <c r="F49">
        <v>21</v>
      </c>
      <c r="G49">
        <v>10</v>
      </c>
      <c r="H49">
        <v>118</v>
      </c>
      <c r="J49" t="s">
        <v>4</v>
      </c>
      <c r="K49">
        <f>$H49*B$56/$H$56</f>
        <v>32.596685082872931</v>
      </c>
      <c r="L49">
        <f>$H49*C$56/$H$56</f>
        <v>22.817679558011051</v>
      </c>
      <c r="M49">
        <f>$H49*D$56/$H$56</f>
        <v>14.901341752170481</v>
      </c>
      <c r="N49">
        <f t="shared" ref="N49:P55" si="7">$H49*E$56/$H$56</f>
        <v>20.116811365430149</v>
      </c>
      <c r="O49">
        <f t="shared" si="7"/>
        <v>22.072612470402525</v>
      </c>
      <c r="P49">
        <f t="shared" si="7"/>
        <v>5.4948697711128647</v>
      </c>
    </row>
    <row r="50" spans="1:16" x14ac:dyDescent="0.25">
      <c r="A50" t="s">
        <v>29</v>
      </c>
      <c r="B50">
        <v>115</v>
      </c>
      <c r="C50">
        <v>72</v>
      </c>
      <c r="D50">
        <v>28</v>
      </c>
      <c r="E50">
        <v>52</v>
      </c>
      <c r="F50">
        <v>65</v>
      </c>
      <c r="G50">
        <v>17</v>
      </c>
      <c r="H50">
        <v>349</v>
      </c>
      <c r="J50" t="s">
        <v>29</v>
      </c>
      <c r="K50">
        <f>$H50*B$56/$H$56</f>
        <v>96.408839779005518</v>
      </c>
      <c r="L50">
        <f t="shared" ref="L50:L55" si="8">$H50*C$56/$H$56</f>
        <v>67.486187845303874</v>
      </c>
      <c r="M50">
        <f t="shared" ref="M50:M55" si="9">$H50*D$56/$H$56</f>
        <v>44.072612470402525</v>
      </c>
      <c r="N50">
        <f t="shared" si="7"/>
        <v>59.498026835043412</v>
      </c>
      <c r="O50">
        <f t="shared" si="7"/>
        <v>65.282557221783748</v>
      </c>
      <c r="P50">
        <f t="shared" si="7"/>
        <v>16.25177584846093</v>
      </c>
    </row>
    <row r="51" spans="1:16" x14ac:dyDescent="0.25">
      <c r="A51" t="s">
        <v>6</v>
      </c>
      <c r="B51">
        <v>33</v>
      </c>
      <c r="C51">
        <v>47</v>
      </c>
      <c r="D51">
        <v>45</v>
      </c>
      <c r="E51">
        <v>43</v>
      </c>
      <c r="F51">
        <v>63</v>
      </c>
      <c r="G51">
        <v>7</v>
      </c>
      <c r="H51">
        <v>238</v>
      </c>
      <c r="J51" t="s">
        <v>6</v>
      </c>
      <c r="K51">
        <f>$H51*B$56/$H$56</f>
        <v>65.745856353591165</v>
      </c>
      <c r="L51">
        <f t="shared" si="8"/>
        <v>46.02209944751381</v>
      </c>
      <c r="M51">
        <f t="shared" si="9"/>
        <v>30.055248618784532</v>
      </c>
      <c r="N51">
        <f t="shared" si="7"/>
        <v>40.574585635359114</v>
      </c>
      <c r="O51">
        <f t="shared" si="7"/>
        <v>44.519337016574589</v>
      </c>
      <c r="P51">
        <f t="shared" si="7"/>
        <v>11.082872928176796</v>
      </c>
    </row>
    <row r="52" spans="1:16" x14ac:dyDescent="0.25">
      <c r="A52" t="s">
        <v>27</v>
      </c>
      <c r="B52">
        <v>36</v>
      </c>
      <c r="C52">
        <v>36</v>
      </c>
      <c r="D52">
        <v>26</v>
      </c>
      <c r="E52">
        <v>9</v>
      </c>
      <c r="F52">
        <v>24</v>
      </c>
      <c r="G52">
        <v>8</v>
      </c>
      <c r="H52">
        <v>139</v>
      </c>
      <c r="J52" t="s">
        <v>27</v>
      </c>
      <c r="K52">
        <f>$H52*B$56/$H$56</f>
        <v>38.39779005524862</v>
      </c>
      <c r="L52">
        <f t="shared" si="8"/>
        <v>26.878453038674031</v>
      </c>
      <c r="M52">
        <f t="shared" si="9"/>
        <v>17.55327545382794</v>
      </c>
      <c r="N52">
        <f t="shared" si="7"/>
        <v>23.696921862667718</v>
      </c>
      <c r="O52">
        <f t="shared" si="7"/>
        <v>26.000789265982636</v>
      </c>
      <c r="P52">
        <f t="shared" si="7"/>
        <v>6.472770323599053</v>
      </c>
    </row>
    <row r="53" spans="1:16" x14ac:dyDescent="0.25">
      <c r="A53" t="s">
        <v>37</v>
      </c>
      <c r="B53">
        <v>48</v>
      </c>
      <c r="C53">
        <v>21</v>
      </c>
      <c r="D53">
        <v>20</v>
      </c>
      <c r="E53">
        <v>5</v>
      </c>
      <c r="F53">
        <v>28</v>
      </c>
      <c r="G53">
        <v>9</v>
      </c>
      <c r="H53">
        <v>131</v>
      </c>
      <c r="J53" t="s">
        <v>37</v>
      </c>
      <c r="K53">
        <f t="shared" ref="K53:K55" si="10">$H53*B$56/$H$56</f>
        <v>36.187845303867405</v>
      </c>
      <c r="L53">
        <f t="shared" si="8"/>
        <v>25.331491712707184</v>
      </c>
      <c r="M53">
        <f t="shared" si="9"/>
        <v>16.543014996053671</v>
      </c>
      <c r="N53">
        <f t="shared" si="7"/>
        <v>22.333070244672456</v>
      </c>
      <c r="O53">
        <f t="shared" si="7"/>
        <v>24.5043409629045</v>
      </c>
      <c r="P53">
        <f t="shared" si="7"/>
        <v>6.1002367797947912</v>
      </c>
    </row>
    <row r="54" spans="1:16" x14ac:dyDescent="0.25">
      <c r="A54" t="s">
        <v>9</v>
      </c>
      <c r="B54">
        <v>10</v>
      </c>
      <c r="C54">
        <v>27</v>
      </c>
      <c r="D54">
        <v>16</v>
      </c>
      <c r="E54">
        <v>55</v>
      </c>
      <c r="F54">
        <v>4</v>
      </c>
      <c r="G54">
        <v>2</v>
      </c>
      <c r="H54">
        <v>114</v>
      </c>
      <c r="J54" t="s">
        <v>9</v>
      </c>
      <c r="K54">
        <f t="shared" si="10"/>
        <v>31.49171270718232</v>
      </c>
      <c r="L54">
        <f t="shared" si="8"/>
        <v>22.044198895027623</v>
      </c>
      <c r="M54">
        <f t="shared" si="9"/>
        <v>14.396211523283347</v>
      </c>
      <c r="N54">
        <f t="shared" si="7"/>
        <v>19.434885556432519</v>
      </c>
      <c r="O54">
        <f t="shared" si="7"/>
        <v>21.324388318863456</v>
      </c>
      <c r="P54">
        <f t="shared" si="7"/>
        <v>5.3086029992107342</v>
      </c>
    </row>
    <row r="55" spans="1:16" x14ac:dyDescent="0.25">
      <c r="A55" t="s">
        <v>25</v>
      </c>
      <c r="B55">
        <v>50</v>
      </c>
      <c r="C55">
        <v>28</v>
      </c>
      <c r="D55">
        <v>17</v>
      </c>
      <c r="E55">
        <v>45</v>
      </c>
      <c r="F55">
        <v>32</v>
      </c>
      <c r="G55">
        <v>6</v>
      </c>
      <c r="H55">
        <v>178</v>
      </c>
      <c r="J55" t="s">
        <v>25</v>
      </c>
      <c r="K55">
        <f t="shared" si="10"/>
        <v>49.171270718232044</v>
      </c>
      <c r="L55">
        <f t="shared" si="8"/>
        <v>34.41988950276243</v>
      </c>
      <c r="M55">
        <f t="shared" si="9"/>
        <v>22.478295185477506</v>
      </c>
      <c r="N55">
        <f t="shared" si="7"/>
        <v>30.345698500394633</v>
      </c>
      <c r="O55">
        <f t="shared" si="7"/>
        <v>33.295974743488557</v>
      </c>
      <c r="P55">
        <f t="shared" si="7"/>
        <v>8.2888713496448307</v>
      </c>
    </row>
    <row r="56" spans="1:16" x14ac:dyDescent="0.25">
      <c r="A56" t="s">
        <v>60</v>
      </c>
      <c r="B56">
        <v>350</v>
      </c>
      <c r="C56">
        <v>245</v>
      </c>
      <c r="D56">
        <v>160</v>
      </c>
      <c r="E56">
        <v>216</v>
      </c>
      <c r="F56">
        <v>237</v>
      </c>
      <c r="G56">
        <v>59</v>
      </c>
      <c r="H56">
        <v>1267</v>
      </c>
    </row>
    <row r="59" spans="1:16" x14ac:dyDescent="0.25">
      <c r="A59" t="s">
        <v>71</v>
      </c>
      <c r="B59" t="s">
        <v>0</v>
      </c>
      <c r="C59" t="s">
        <v>2</v>
      </c>
      <c r="D59" t="s">
        <v>63</v>
      </c>
      <c r="E59" t="s">
        <v>64</v>
      </c>
      <c r="F59" t="s">
        <v>65</v>
      </c>
      <c r="G59" t="s">
        <v>66</v>
      </c>
      <c r="J59" t="s">
        <v>73</v>
      </c>
      <c r="K59" t="s">
        <v>0</v>
      </c>
      <c r="L59" t="s">
        <v>2</v>
      </c>
      <c r="M59" t="s">
        <v>63</v>
      </c>
      <c r="N59" t="s">
        <v>64</v>
      </c>
      <c r="O59" t="s">
        <v>65</v>
      </c>
      <c r="P59" t="s">
        <v>66</v>
      </c>
    </row>
    <row r="60" spans="1:16" x14ac:dyDescent="0.25">
      <c r="A60" t="s">
        <v>4</v>
      </c>
      <c r="B60">
        <f>((B49-K49)^2)/K49</f>
        <v>19.797363048974617</v>
      </c>
      <c r="C60">
        <f t="shared" ref="C60:G66" si="11">((C49-L49)^2)/L49</f>
        <v>3.4075100664856266</v>
      </c>
      <c r="D60">
        <f t="shared" si="11"/>
        <v>3.1962570064077691</v>
      </c>
      <c r="E60">
        <f t="shared" si="11"/>
        <v>8.5525850628563891</v>
      </c>
      <c r="F60">
        <f t="shared" si="11"/>
        <v>5.2123304987378646E-2</v>
      </c>
      <c r="G60">
        <f t="shared" si="11"/>
        <v>3.6936632212708664</v>
      </c>
      <c r="J60" t="s">
        <v>4</v>
      </c>
      <c r="K60">
        <f>(B49-K49)/SQRT(K49*(1-$H49/$H$56)*(1-B$56/$H$56))</f>
        <v>5.4920642134221636</v>
      </c>
      <c r="L60">
        <f>(C49-L49)/SQRT(L49*(1-$H49/$H$56)*(1-C$56/$H$56))</f>
        <v>-2.1582896415477171</v>
      </c>
      <c r="M60">
        <f>(D49-M49)/SQRT(M49*(1-$H49/$H$56)*(1-D$56/$H$56))</f>
        <v>-2.0084620800211743</v>
      </c>
      <c r="N60">
        <f>(E49-N49)/SQRT(N49*(1-$H49/$H$56)*(1-E$56/$H$56))</f>
        <v>-3.3718165941885085</v>
      </c>
      <c r="O60">
        <f>(F49-O49)/SQRT(O49*(1-$H49/$H$56)*(1-F$56/$H$56))</f>
        <v>-0.2658973204616274</v>
      </c>
      <c r="P60">
        <f>(G49-P49)/SQRT(P49*(1-$H49/$H$56)*(1-G$56/$H$56))</f>
        <v>2.0668634289343135</v>
      </c>
    </row>
    <row r="61" spans="1:16" x14ac:dyDescent="0.25">
      <c r="A61" t="s">
        <v>29</v>
      </c>
      <c r="B61">
        <f>((B50-K50)^2)/K50</f>
        <v>3.585057544048508</v>
      </c>
      <c r="C61">
        <f t="shared" si="11"/>
        <v>0.30190622434602771</v>
      </c>
      <c r="D61">
        <f t="shared" si="11"/>
        <v>5.8614376853022394</v>
      </c>
      <c r="E61">
        <f t="shared" si="11"/>
        <v>0.94491211573957912</v>
      </c>
      <c r="F61">
        <f t="shared" si="11"/>
        <v>1.2229696105640455E-3</v>
      </c>
      <c r="G61">
        <f t="shared" si="11"/>
        <v>3.4447889643972565E-2</v>
      </c>
      <c r="J61" t="s">
        <v>29</v>
      </c>
      <c r="K61">
        <f>(B50-K50)/SQRT(K50*(1-$H50/$H$56)*(1-B$56/$H$56))</f>
        <v>2.6146807645880816</v>
      </c>
      <c r="L61">
        <f t="shared" ref="L61:L66" si="12">(C50-L50)/SQRT(L50*(1-$H50/$H$56)*(1-C$56/$H$56))</f>
        <v>0.71873014400110835</v>
      </c>
      <c r="M61">
        <f t="shared" ref="M61:M66" si="13">(D50-M50)/SQRT(M50*(1-$H50/$H$56)*(1-D$56/$H$56))</f>
        <v>-3.0428709913576326</v>
      </c>
      <c r="N61">
        <f t="shared" ref="N61:N66" si="14">(E50-N50)/SQRT(N50*(1-$H50/$H$56)*(1-E$56/$H$56))</f>
        <v>-1.2538616661581017</v>
      </c>
      <c r="O61">
        <f t="shared" ref="O61:O66" si="15">(F50-O50)/SQRT(O50*(1-$H50/$H$56)*(1-F$56/$H$56))</f>
        <v>-4.5566376539646403E-2</v>
      </c>
      <c r="P61">
        <f t="shared" ref="P61:P66" si="16">(G50-P50)/SQRT(P50*(1-$H50/$H$56)*(1-G$56/$H$56))</f>
        <v>0.22330740138774252</v>
      </c>
    </row>
    <row r="62" spans="1:16" x14ac:dyDescent="0.25">
      <c r="A62" t="s">
        <v>6</v>
      </c>
      <c r="B62">
        <f t="shared" ref="B62:B66" si="17">((B51-K51)^2)/K51</f>
        <v>16.309637866196205</v>
      </c>
      <c r="C62">
        <f t="shared" si="11"/>
        <v>2.0778919302527739E-2</v>
      </c>
      <c r="D62">
        <f t="shared" si="11"/>
        <v>7.4311677364315871</v>
      </c>
      <c r="E62">
        <f t="shared" si="11"/>
        <v>0.14498323884495509</v>
      </c>
      <c r="F62">
        <f t="shared" si="11"/>
        <v>7.6716080515708596</v>
      </c>
      <c r="G62">
        <f t="shared" si="11"/>
        <v>1.504109219303416</v>
      </c>
      <c r="J62" t="s">
        <v>6</v>
      </c>
      <c r="K62">
        <f>(B51-K51)/SQRT(K51*(1-$H51/$H$56)*(1-B$56/$H$56))</f>
        <v>-5.2675227355524452</v>
      </c>
      <c r="L62">
        <f t="shared" si="12"/>
        <v>0.1780963249567569</v>
      </c>
      <c r="M62">
        <f t="shared" si="13"/>
        <v>3.2361127849020757</v>
      </c>
      <c r="N62">
        <f t="shared" si="14"/>
        <v>0.46390223854658152</v>
      </c>
      <c r="O62">
        <f t="shared" si="15"/>
        <v>3.4087371854024338</v>
      </c>
      <c r="P62">
        <f t="shared" si="16"/>
        <v>-1.3937187636038388</v>
      </c>
    </row>
    <row r="63" spans="1:16" x14ac:dyDescent="0.25">
      <c r="A63" t="s">
        <v>27</v>
      </c>
      <c r="B63">
        <f t="shared" si="17"/>
        <v>0.14973250129178445</v>
      </c>
      <c r="C63">
        <f t="shared" si="11"/>
        <v>3.0955136758785566</v>
      </c>
      <c r="D63">
        <f t="shared" si="11"/>
        <v>4.0646063890797386</v>
      </c>
      <c r="E63">
        <f t="shared" si="11"/>
        <v>9.1150873302936173</v>
      </c>
      <c r="F63">
        <f t="shared" si="11"/>
        <v>0.1539629295834011</v>
      </c>
      <c r="G63">
        <f t="shared" si="11"/>
        <v>0.36034500961295357</v>
      </c>
      <c r="J63" t="s">
        <v>27</v>
      </c>
      <c r="K63">
        <f>(B52-K52)/SQRT(K52*(1-$H52/$H$56)*(1-B$56/$H$56))</f>
        <v>-0.48205371817383663</v>
      </c>
      <c r="L63">
        <f t="shared" si="12"/>
        <v>2.0761703315433313</v>
      </c>
      <c r="M63">
        <f t="shared" si="13"/>
        <v>2.2859014460205067</v>
      </c>
      <c r="N63">
        <f t="shared" si="14"/>
        <v>-3.5131858429096736</v>
      </c>
      <c r="O63">
        <f t="shared" si="15"/>
        <v>-0.46122361542787699</v>
      </c>
      <c r="P63">
        <f t="shared" si="16"/>
        <v>0.65155015716761744</v>
      </c>
    </row>
    <row r="64" spans="1:16" x14ac:dyDescent="0.25">
      <c r="A64" t="s">
        <v>37</v>
      </c>
      <c r="B64">
        <f t="shared" si="17"/>
        <v>3.8556315634093865</v>
      </c>
      <c r="C64">
        <f t="shared" si="11"/>
        <v>0.74065201805069425</v>
      </c>
      <c r="D64">
        <f t="shared" si="11"/>
        <v>0.72240430903076891</v>
      </c>
      <c r="E64">
        <f t="shared" si="11"/>
        <v>13.452486416569542</v>
      </c>
      <c r="F64">
        <f t="shared" si="11"/>
        <v>0.4986721382193437</v>
      </c>
      <c r="G64">
        <f t="shared" si="11"/>
        <v>1.3784098940398415</v>
      </c>
      <c r="J64" t="s">
        <v>37</v>
      </c>
      <c r="K64">
        <f t="shared" ref="K61:K66" si="18">(B53-K53)/SQRT(K53*(1-$H53/$H$56)*(1-B$56/$H$56))</f>
        <v>2.4375332289575526</v>
      </c>
      <c r="L64">
        <f t="shared" si="12"/>
        <v>-1.0119734219963863</v>
      </c>
      <c r="M64">
        <f t="shared" si="13"/>
        <v>0.96029308745601505</v>
      </c>
      <c r="N64">
        <f t="shared" si="14"/>
        <v>-4.2529215553917368</v>
      </c>
      <c r="O64">
        <f t="shared" si="15"/>
        <v>0.8271349820637478</v>
      </c>
      <c r="P64">
        <f t="shared" si="16"/>
        <v>1.2698229527821767</v>
      </c>
    </row>
    <row r="65" spans="1:16" x14ac:dyDescent="0.25">
      <c r="A65" t="s">
        <v>9</v>
      </c>
      <c r="B65">
        <f t="shared" si="17"/>
        <v>14.667151303673547</v>
      </c>
      <c r="C65">
        <f t="shared" si="11"/>
        <v>1.1141237070576999</v>
      </c>
      <c r="D65">
        <f t="shared" si="11"/>
        <v>0.17866766363422368</v>
      </c>
      <c r="E65">
        <f t="shared" si="11"/>
        <v>65.082830650649527</v>
      </c>
      <c r="F65">
        <f t="shared" si="11"/>
        <v>14.074702923941551</v>
      </c>
      <c r="G65">
        <f t="shared" si="11"/>
        <v>2.0620969034628898</v>
      </c>
      <c r="J65" t="s">
        <v>9</v>
      </c>
      <c r="K65">
        <f>(B54-K54)/SQRT(K54*(1-$H54/$H$56)*(1-B$56/$H$56))</f>
        <v>-4.7190021961399848</v>
      </c>
      <c r="L65">
        <f t="shared" si="12"/>
        <v>1.2319787619535989</v>
      </c>
      <c r="M65">
        <f t="shared" si="13"/>
        <v>0.47403578732849494</v>
      </c>
      <c r="N65">
        <f t="shared" si="14"/>
        <v>9.2852546735458805</v>
      </c>
      <c r="O65">
        <f t="shared" si="15"/>
        <v>-4.3617720712734034</v>
      </c>
      <c r="P65">
        <f t="shared" si="16"/>
        <v>-1.5416402093239689</v>
      </c>
    </row>
    <row r="66" spans="1:16" x14ac:dyDescent="0.25">
      <c r="B66">
        <f t="shared" si="17"/>
        <v>1.396734744552734E-2</v>
      </c>
      <c r="C66">
        <f t="shared" si="11"/>
        <v>1.1974175926500712</v>
      </c>
      <c r="D66">
        <f t="shared" si="11"/>
        <v>1.3351420955898656</v>
      </c>
      <c r="E66">
        <f t="shared" si="11"/>
        <v>7.0767378262373297</v>
      </c>
      <c r="F66">
        <f t="shared" si="11"/>
        <v>5.0443050509842435E-2</v>
      </c>
      <c r="G66">
        <f t="shared" si="11"/>
        <v>0.63204407864882972</v>
      </c>
      <c r="J66" t="s">
        <v>25</v>
      </c>
      <c r="K66">
        <f>(B55-K55)/SQRT(K55*(1-$H55/$H$56)*(1-B$56/$H$56))</f>
        <v>0.14984248799038094</v>
      </c>
      <c r="L66">
        <f t="shared" si="12"/>
        <v>-1.3141957076713142</v>
      </c>
      <c r="M66">
        <f t="shared" si="13"/>
        <v>-1.3333759239663781</v>
      </c>
      <c r="N66">
        <f t="shared" si="14"/>
        <v>3.1504882936300946</v>
      </c>
      <c r="O66">
        <f t="shared" si="15"/>
        <v>-0.26868581187039664</v>
      </c>
      <c r="P66">
        <f t="shared" si="16"/>
        <v>-0.87821912668142776</v>
      </c>
    </row>
    <row r="67" spans="1:16" x14ac:dyDescent="0.25">
      <c r="A67" t="s">
        <v>15</v>
      </c>
      <c r="H67" t="s">
        <v>70</v>
      </c>
    </row>
    <row r="68" spans="1:16" x14ac:dyDescent="0.25">
      <c r="B68">
        <f>SUM(B60:B66)</f>
        <v>58.37854117503958</v>
      </c>
      <c r="C68">
        <f t="shared" ref="C68:F68" si="19">SUM(C60:C66)</f>
        <v>9.877902203771205</v>
      </c>
      <c r="D68">
        <f t="shared" si="19"/>
        <v>22.789682885476189</v>
      </c>
      <c r="E68">
        <f t="shared" si="19"/>
        <v>104.36962264119094</v>
      </c>
      <c r="F68">
        <f t="shared" si="19"/>
        <v>22.50273536842294</v>
      </c>
      <c r="G68">
        <f>SUM(G60:G66)</f>
        <v>9.6651162159827688</v>
      </c>
      <c r="H68">
        <f>SUM(B68:G68)</f>
        <v>227.58360048988365</v>
      </c>
    </row>
    <row r="71" spans="1:16" x14ac:dyDescent="0.25">
      <c r="A71" t="s">
        <v>72</v>
      </c>
      <c r="B71" t="s">
        <v>80</v>
      </c>
      <c r="C71" t="s">
        <v>0</v>
      </c>
      <c r="D71" t="s">
        <v>2</v>
      </c>
      <c r="E71" t="s">
        <v>63</v>
      </c>
      <c r="F71" t="s">
        <v>64</v>
      </c>
      <c r="G71" t="s">
        <v>65</v>
      </c>
      <c r="H71" t="s">
        <v>66</v>
      </c>
    </row>
    <row r="72" spans="1:16" x14ac:dyDescent="0.25">
      <c r="A72" t="s">
        <v>4</v>
      </c>
      <c r="B72" t="s">
        <v>4</v>
      </c>
      <c r="C72" s="6">
        <v>5.4920642134221636</v>
      </c>
      <c r="D72" s="6">
        <v>-2.1582896415477171</v>
      </c>
      <c r="E72" s="6">
        <v>-2.0084620800211743</v>
      </c>
      <c r="F72" s="6">
        <v>-3.3718165941885085</v>
      </c>
      <c r="G72" s="6">
        <v>-0.2658973204616274</v>
      </c>
      <c r="H72" s="6">
        <v>2.0668634289343135</v>
      </c>
    </row>
    <row r="73" spans="1:16" x14ac:dyDescent="0.25">
      <c r="A73" t="s">
        <v>29</v>
      </c>
      <c r="B73" t="s">
        <v>29</v>
      </c>
      <c r="C73" s="6">
        <v>2.6146807645880816</v>
      </c>
      <c r="D73" s="6">
        <v>0.71873014400110835</v>
      </c>
      <c r="E73" s="6">
        <v>-3.0428709913576326</v>
      </c>
      <c r="F73" s="6">
        <v>-1.2538616661581017</v>
      </c>
      <c r="G73" s="6">
        <v>-4.5566376539646403E-2</v>
      </c>
      <c r="H73" s="6">
        <v>0.22330740138774252</v>
      </c>
    </row>
    <row r="74" spans="1:16" x14ac:dyDescent="0.25">
      <c r="A74" t="s">
        <v>6</v>
      </c>
      <c r="B74" t="s">
        <v>6</v>
      </c>
      <c r="C74" s="6">
        <v>-5.2675227355524452</v>
      </c>
      <c r="D74" s="6">
        <v>0.1780963249567569</v>
      </c>
      <c r="E74" s="6">
        <v>3.2361127849020757</v>
      </c>
      <c r="F74" s="6">
        <v>0.46390223854658152</v>
      </c>
      <c r="G74" s="6">
        <v>3.4087371854024338</v>
      </c>
      <c r="H74" s="6">
        <v>-1.3937187636038388</v>
      </c>
    </row>
    <row r="75" spans="1:16" x14ac:dyDescent="0.25">
      <c r="A75" t="s">
        <v>27</v>
      </c>
      <c r="B75" t="s">
        <v>27</v>
      </c>
      <c r="C75" s="6">
        <v>-0.48205371817383663</v>
      </c>
      <c r="D75" s="6">
        <v>2.0761703315433313</v>
      </c>
      <c r="E75" s="6">
        <v>2.2859014460205067</v>
      </c>
      <c r="F75" s="6">
        <v>-3.5131858429096736</v>
      </c>
      <c r="G75" s="6">
        <v>-0.46122361542787699</v>
      </c>
      <c r="H75" s="6">
        <v>0.65155015716761744</v>
      </c>
    </row>
    <row r="76" spans="1:16" x14ac:dyDescent="0.25">
      <c r="A76" t="s">
        <v>37</v>
      </c>
      <c r="B76" t="s">
        <v>37</v>
      </c>
      <c r="C76" s="6">
        <v>2.4375332289575526</v>
      </c>
      <c r="D76" s="6">
        <v>-1.0119734219963863</v>
      </c>
      <c r="E76" s="6">
        <v>0.96029308745601505</v>
      </c>
      <c r="F76" s="6">
        <v>-4.2529215553917368</v>
      </c>
      <c r="G76" s="6">
        <v>0.8271349820637478</v>
      </c>
      <c r="H76" s="6">
        <v>1.2698229527821767</v>
      </c>
    </row>
    <row r="77" spans="1:16" x14ac:dyDescent="0.25">
      <c r="A77" t="s">
        <v>9</v>
      </c>
      <c r="B77" t="s">
        <v>9</v>
      </c>
      <c r="C77" s="6">
        <v>-4.7190021961399848</v>
      </c>
      <c r="D77" s="6">
        <v>1.2319787619535989</v>
      </c>
      <c r="E77" s="6">
        <v>0.47403578732849494</v>
      </c>
      <c r="F77" s="6">
        <v>9.2852546735458805</v>
      </c>
      <c r="G77" s="6">
        <v>-4.3617720712734034</v>
      </c>
      <c r="H77" s="6">
        <v>-1.5416402093239689</v>
      </c>
    </row>
    <row r="78" spans="1:16" x14ac:dyDescent="0.25">
      <c r="A78" t="s">
        <v>25</v>
      </c>
      <c r="B78" t="s">
        <v>25</v>
      </c>
      <c r="C78" s="6">
        <v>0.14984248799038094</v>
      </c>
      <c r="D78" s="6">
        <v>-1.3141957076713142</v>
      </c>
      <c r="E78" s="6">
        <v>-1.3333759239663781</v>
      </c>
      <c r="F78" s="6">
        <v>3.1504882936300946</v>
      </c>
      <c r="G78" s="6">
        <v>-0.26868581187039664</v>
      </c>
      <c r="H78" s="6">
        <v>-0.87821912668142776</v>
      </c>
    </row>
    <row r="83" spans="1:16" x14ac:dyDescent="0.25">
      <c r="B83" t="s">
        <v>1</v>
      </c>
      <c r="C83" t="s">
        <v>2</v>
      </c>
      <c r="D83" t="s">
        <v>63</v>
      </c>
      <c r="E83" t="s">
        <v>64</v>
      </c>
      <c r="F83" t="s">
        <v>65</v>
      </c>
      <c r="G83" t="s">
        <v>66</v>
      </c>
      <c r="H83" t="s">
        <v>61</v>
      </c>
      <c r="J83" t="s">
        <v>67</v>
      </c>
      <c r="K83" t="s">
        <v>1</v>
      </c>
      <c r="L83" t="s">
        <v>2</v>
      </c>
      <c r="M83" t="s">
        <v>63</v>
      </c>
      <c r="N83" t="s">
        <v>64</v>
      </c>
      <c r="O83" t="s">
        <v>65</v>
      </c>
      <c r="P83" t="s">
        <v>66</v>
      </c>
    </row>
    <row r="84" spans="1:16" x14ac:dyDescent="0.25">
      <c r="A84" t="s">
        <v>48</v>
      </c>
      <c r="B84">
        <v>13</v>
      </c>
      <c r="C84">
        <v>9</v>
      </c>
      <c r="D84">
        <v>0</v>
      </c>
      <c r="E84">
        <v>0</v>
      </c>
      <c r="F84">
        <v>1</v>
      </c>
      <c r="G84">
        <v>0</v>
      </c>
      <c r="H84">
        <f>SUM(B84:G84)</f>
        <v>23</v>
      </c>
      <c r="J84" t="s">
        <v>48</v>
      </c>
      <c r="K84">
        <f>$H84*B$89/$H$89</f>
        <v>7.5787965616045847</v>
      </c>
      <c r="L84">
        <f t="shared" ref="L84:P88" si="20">$H84*C$89/$H$89</f>
        <v>4.7449856733524358</v>
      </c>
      <c r="M84">
        <f t="shared" si="20"/>
        <v>1.845272206303725</v>
      </c>
      <c r="N84">
        <f t="shared" si="20"/>
        <v>3.4269340974212033</v>
      </c>
      <c r="O84">
        <f t="shared" si="20"/>
        <v>4.2836676217765044</v>
      </c>
      <c r="P84">
        <f t="shared" si="20"/>
        <v>1.1203438395415473</v>
      </c>
    </row>
    <row r="85" spans="1:16" x14ac:dyDescent="0.25">
      <c r="A85" t="s">
        <v>49</v>
      </c>
      <c r="B85">
        <v>44</v>
      </c>
      <c r="C85">
        <v>25</v>
      </c>
      <c r="D85">
        <v>5</v>
      </c>
      <c r="E85">
        <v>12</v>
      </c>
      <c r="F85">
        <v>19</v>
      </c>
      <c r="G85">
        <v>7</v>
      </c>
      <c r="H85">
        <f t="shared" ref="H85:H88" si="21">SUM(B85:G85)</f>
        <v>112</v>
      </c>
      <c r="J85" t="s">
        <v>49</v>
      </c>
      <c r="K85">
        <f t="shared" ref="K85:K88" si="22">$H85*B$89/$H$89</f>
        <v>36.905444126074499</v>
      </c>
      <c r="L85">
        <f t="shared" si="20"/>
        <v>23.106017191977077</v>
      </c>
      <c r="M85">
        <f t="shared" si="20"/>
        <v>8.9856733524355299</v>
      </c>
      <c r="N85">
        <f t="shared" si="20"/>
        <v>16.687679083094554</v>
      </c>
      <c r="O85">
        <f t="shared" si="20"/>
        <v>20.859598853868196</v>
      </c>
      <c r="P85">
        <f t="shared" si="20"/>
        <v>5.455587392550143</v>
      </c>
    </row>
    <row r="86" spans="1:16" x14ac:dyDescent="0.25">
      <c r="A86" t="s">
        <v>50</v>
      </c>
      <c r="B86">
        <v>51</v>
      </c>
      <c r="C86">
        <v>30</v>
      </c>
      <c r="D86">
        <v>11</v>
      </c>
      <c r="E86">
        <v>12</v>
      </c>
      <c r="F86">
        <v>30</v>
      </c>
      <c r="G86">
        <v>9</v>
      </c>
      <c r="H86">
        <f t="shared" si="21"/>
        <v>143</v>
      </c>
      <c r="J86" t="s">
        <v>50</v>
      </c>
      <c r="K86">
        <f t="shared" si="22"/>
        <v>47.120343839541547</v>
      </c>
      <c r="L86">
        <f t="shared" si="20"/>
        <v>29.501432664756447</v>
      </c>
      <c r="M86">
        <f t="shared" si="20"/>
        <v>11.472779369627506</v>
      </c>
      <c r="N86">
        <f t="shared" si="20"/>
        <v>21.306590257879655</v>
      </c>
      <c r="O86">
        <f t="shared" si="20"/>
        <v>26.633237822349571</v>
      </c>
      <c r="P86">
        <f t="shared" si="20"/>
        <v>6.9656160458452723</v>
      </c>
    </row>
    <row r="87" spans="1:16" x14ac:dyDescent="0.25">
      <c r="A87" t="s">
        <v>51</v>
      </c>
      <c r="B87">
        <v>2</v>
      </c>
      <c r="C87">
        <v>0</v>
      </c>
      <c r="D87">
        <v>9</v>
      </c>
      <c r="E87">
        <v>16</v>
      </c>
      <c r="F87">
        <v>9</v>
      </c>
      <c r="G87">
        <v>0</v>
      </c>
      <c r="H87">
        <f t="shared" si="21"/>
        <v>36</v>
      </c>
      <c r="J87" t="s">
        <v>51</v>
      </c>
      <c r="K87">
        <f t="shared" si="22"/>
        <v>11.862464183381089</v>
      </c>
      <c r="L87">
        <f t="shared" si="20"/>
        <v>7.4269340974212037</v>
      </c>
      <c r="M87">
        <f t="shared" si="20"/>
        <v>2.8882521489971347</v>
      </c>
      <c r="N87">
        <f t="shared" si="20"/>
        <v>5.3638968481375358</v>
      </c>
      <c r="O87">
        <f t="shared" si="20"/>
        <v>6.7048710601719197</v>
      </c>
      <c r="P87">
        <f t="shared" si="20"/>
        <v>1.7535816618911175</v>
      </c>
    </row>
    <row r="88" spans="1:16" x14ac:dyDescent="0.25">
      <c r="A88" t="s">
        <v>52</v>
      </c>
      <c r="B88">
        <v>5</v>
      </c>
      <c r="C88">
        <v>8</v>
      </c>
      <c r="D88">
        <v>3</v>
      </c>
      <c r="E88">
        <v>12</v>
      </c>
      <c r="F88">
        <v>6</v>
      </c>
      <c r="G88">
        <v>1</v>
      </c>
      <c r="H88">
        <f t="shared" si="21"/>
        <v>35</v>
      </c>
      <c r="J88" t="s">
        <v>52</v>
      </c>
      <c r="K88">
        <f t="shared" si="22"/>
        <v>11.53295128939828</v>
      </c>
      <c r="L88">
        <f t="shared" si="20"/>
        <v>7.2206303724928365</v>
      </c>
      <c r="M88">
        <f t="shared" si="20"/>
        <v>2.8080229226361033</v>
      </c>
      <c r="N88">
        <f t="shared" si="20"/>
        <v>5.2148997134670489</v>
      </c>
      <c r="O88">
        <f t="shared" si="20"/>
        <v>6.518624641833811</v>
      </c>
      <c r="P88">
        <f t="shared" si="20"/>
        <v>1.7048710601719197</v>
      </c>
    </row>
    <row r="89" spans="1:16" x14ac:dyDescent="0.25">
      <c r="A89" t="s">
        <v>61</v>
      </c>
      <c r="B89">
        <f>SUM(B84:B88)</f>
        <v>115</v>
      </c>
      <c r="C89">
        <f t="shared" ref="C89:G89" si="23">SUM(C84:C88)</f>
        <v>72</v>
      </c>
      <c r="D89">
        <f t="shared" si="23"/>
        <v>28</v>
      </c>
      <c r="E89">
        <f t="shared" si="23"/>
        <v>52</v>
      </c>
      <c r="F89">
        <f t="shared" si="23"/>
        <v>65</v>
      </c>
      <c r="G89">
        <f t="shared" si="23"/>
        <v>17</v>
      </c>
      <c r="H89">
        <f>SUM(B89:G89)</f>
        <v>349</v>
      </c>
    </row>
    <row r="92" spans="1:16" x14ac:dyDescent="0.25">
      <c r="A92" t="s">
        <v>71</v>
      </c>
      <c r="B92" t="s">
        <v>1</v>
      </c>
      <c r="C92" t="s">
        <v>2</v>
      </c>
      <c r="D92" t="s">
        <v>63</v>
      </c>
      <c r="E92" t="s">
        <v>64</v>
      </c>
      <c r="F92" t="s">
        <v>65</v>
      </c>
      <c r="G92" t="s">
        <v>66</v>
      </c>
      <c r="J92" t="s">
        <v>73</v>
      </c>
      <c r="K92" t="s">
        <v>1</v>
      </c>
      <c r="L92" t="s">
        <v>2</v>
      </c>
      <c r="M92" t="s">
        <v>63</v>
      </c>
      <c r="N92" t="s">
        <v>64</v>
      </c>
      <c r="O92" t="s">
        <v>65</v>
      </c>
      <c r="P92" t="s">
        <v>66</v>
      </c>
    </row>
    <row r="93" spans="1:16" x14ac:dyDescent="0.25">
      <c r="A93" t="s">
        <v>48</v>
      </c>
      <c r="B93">
        <f t="shared" ref="B93:G97" si="24">((B84-K84)^2)/K84</f>
        <v>3.8778513820204634</v>
      </c>
      <c r="C93">
        <f t="shared" si="24"/>
        <v>3.8156378472654784</v>
      </c>
      <c r="D93">
        <f t="shared" si="24"/>
        <v>1.845272206303725</v>
      </c>
      <c r="E93">
        <f t="shared" si="24"/>
        <v>3.4269340974212033</v>
      </c>
      <c r="F93">
        <f t="shared" si="24"/>
        <v>2.5171124378300163</v>
      </c>
      <c r="G93">
        <f t="shared" si="24"/>
        <v>1.1203438395415473</v>
      </c>
      <c r="J93" t="s">
        <v>48</v>
      </c>
      <c r="K93">
        <f>(B84-K84)/SQRT(K84*(1-$H84/$H$89)*(1-B$89/$H$89))</f>
        <v>2.4883088180994499</v>
      </c>
      <c r="L93">
        <f t="shared" ref="L93:P97" si="25">(C84-L84)/SQRT(L84*(1-$H84/$H$89)*(1-C$89/$H$89))</f>
        <v>2.2686124772108611</v>
      </c>
      <c r="M93">
        <f t="shared" si="25"/>
        <v>-1.4655287105051573</v>
      </c>
      <c r="N93">
        <f t="shared" si="25"/>
        <v>-2.0763056158551207</v>
      </c>
      <c r="O93">
        <f t="shared" si="25"/>
        <v>-1.8197375833118294</v>
      </c>
      <c r="P93">
        <f t="shared" si="25"/>
        <v>-1.122853896195074</v>
      </c>
    </row>
    <row r="94" spans="1:16" x14ac:dyDescent="0.25">
      <c r="A94" t="s">
        <v>49</v>
      </c>
      <c r="B94">
        <f t="shared" si="24"/>
        <v>1.3638292192421999</v>
      </c>
      <c r="C94">
        <f t="shared" si="24"/>
        <v>0.15524834277072816</v>
      </c>
      <c r="D94">
        <f t="shared" si="24"/>
        <v>1.7678799850885911</v>
      </c>
      <c r="E94">
        <f t="shared" si="24"/>
        <v>1.3167999622154343</v>
      </c>
      <c r="F94">
        <f t="shared" si="24"/>
        <v>0.16578017254951369</v>
      </c>
      <c r="G94">
        <f t="shared" si="24"/>
        <v>0.43720503960896695</v>
      </c>
      <c r="J94" t="s">
        <v>49</v>
      </c>
      <c r="K94">
        <f t="shared" ref="K94:K97" si="26">(B85-K85)/SQRT(K85*(1-$H85/$H$89)*(1-B$89/$H$89))</f>
        <v>1.7307060849464544</v>
      </c>
      <c r="L94">
        <f t="shared" si="25"/>
        <v>0.53669167151937391</v>
      </c>
      <c r="M94">
        <f t="shared" si="25"/>
        <v>-1.6823839916205392</v>
      </c>
      <c r="N94">
        <f t="shared" si="25"/>
        <v>-1.5094993557334204</v>
      </c>
      <c r="O94">
        <f t="shared" si="25"/>
        <v>-0.54771972015889991</v>
      </c>
      <c r="P94">
        <f t="shared" si="25"/>
        <v>0.8226683547258673</v>
      </c>
    </row>
    <row r="95" spans="1:16" x14ac:dyDescent="0.25">
      <c r="A95" t="s">
        <v>50</v>
      </c>
      <c r="B95">
        <f t="shared" si="24"/>
        <v>0.31943170819463329</v>
      </c>
      <c r="C95">
        <f t="shared" si="24"/>
        <v>8.4256717494539963E-3</v>
      </c>
      <c r="D95">
        <f t="shared" si="24"/>
        <v>1.9482666330803807E-2</v>
      </c>
      <c r="E95">
        <f t="shared" si="24"/>
        <v>4.0650625548134913</v>
      </c>
      <c r="F95">
        <f t="shared" si="24"/>
        <v>0.42559930701874699</v>
      </c>
      <c r="G95">
        <f t="shared" si="24"/>
        <v>0.59416396851084186</v>
      </c>
      <c r="J95" t="s">
        <v>50</v>
      </c>
      <c r="K95">
        <f t="shared" si="26"/>
        <v>0.89840653026524542</v>
      </c>
      <c r="L95">
        <f t="shared" si="25"/>
        <v>0.13410785002587425</v>
      </c>
      <c r="M95">
        <f t="shared" si="25"/>
        <v>-0.18943642835292535</v>
      </c>
      <c r="N95">
        <f t="shared" si="25"/>
        <v>-2.8447703227133907</v>
      </c>
      <c r="O95">
        <f t="shared" si="25"/>
        <v>0.94131093284436518</v>
      </c>
      <c r="P95">
        <f t="shared" si="25"/>
        <v>1.0286696599394156</v>
      </c>
    </row>
    <row r="96" spans="1:16" x14ac:dyDescent="0.25">
      <c r="A96" t="s">
        <v>51</v>
      </c>
      <c r="B96">
        <f t="shared" si="24"/>
        <v>8.1996622510139403</v>
      </c>
      <c r="C96">
        <f t="shared" si="24"/>
        <v>7.4269340974212037</v>
      </c>
      <c r="D96">
        <f t="shared" si="24"/>
        <v>12.932895006139994</v>
      </c>
      <c r="E96">
        <f t="shared" si="24"/>
        <v>21.090392574633263</v>
      </c>
      <c r="F96">
        <f t="shared" si="24"/>
        <v>0.78564029094115062</v>
      </c>
      <c r="G96">
        <f t="shared" si="24"/>
        <v>1.7535816618911173</v>
      </c>
      <c r="J96" t="s">
        <v>51</v>
      </c>
      <c r="K96">
        <f t="shared" si="26"/>
        <v>-3.6926939207568199</v>
      </c>
      <c r="L96">
        <f t="shared" si="25"/>
        <v>-3.2301162957854803</v>
      </c>
      <c r="M96">
        <f t="shared" si="25"/>
        <v>3.9595754044599434</v>
      </c>
      <c r="N96">
        <f t="shared" si="25"/>
        <v>5.2567505085942825</v>
      </c>
      <c r="O96">
        <f t="shared" si="25"/>
        <v>1.0375426592668091</v>
      </c>
      <c r="P96">
        <f>(G87-P87)/SQRT(P87*(1-$H87/$H$89)*(1-G$89/$H$89))</f>
        <v>-1.4336634516664148</v>
      </c>
    </row>
    <row r="97" spans="1:16" x14ac:dyDescent="0.25">
      <c r="A97" t="s">
        <v>52</v>
      </c>
      <c r="B97">
        <f t="shared" si="24"/>
        <v>3.7006531527523174</v>
      </c>
      <c r="C97">
        <f t="shared" si="24"/>
        <v>8.4122435984900212E-2</v>
      </c>
      <c r="D97">
        <f t="shared" si="24"/>
        <v>1.312496345242966E-2</v>
      </c>
      <c r="E97">
        <f t="shared" si="24"/>
        <v>8.8280865266538608</v>
      </c>
      <c r="F97">
        <f t="shared" si="24"/>
        <v>4.1262004471173536E-2</v>
      </c>
      <c r="G97">
        <f t="shared" si="24"/>
        <v>0.29142568202065922</v>
      </c>
      <c r="H97" t="s">
        <v>70</v>
      </c>
      <c r="J97" t="s">
        <v>52</v>
      </c>
      <c r="K97">
        <f t="shared" si="26"/>
        <v>-2.476805283211045</v>
      </c>
      <c r="L97">
        <f t="shared" si="25"/>
        <v>0.34322320195023737</v>
      </c>
      <c r="M97">
        <f t="shared" si="25"/>
        <v>0.12593810034321021</v>
      </c>
      <c r="N97">
        <f t="shared" si="25"/>
        <v>3.3955933067103601</v>
      </c>
      <c r="O97">
        <f t="shared" si="25"/>
        <v>-0.23739774742805125</v>
      </c>
      <c r="P97">
        <f t="shared" si="25"/>
        <v>-0.58351963166487852</v>
      </c>
    </row>
    <row r="98" spans="1:16" x14ac:dyDescent="0.25">
      <c r="H98">
        <f>SUM(B99:G99)</f>
        <v>92.389841055851861</v>
      </c>
    </row>
    <row r="99" spans="1:16" x14ac:dyDescent="0.25">
      <c r="A99" t="s">
        <v>15</v>
      </c>
      <c r="B99">
        <f>SUM(B93:B97)</f>
        <v>17.461427713223554</v>
      </c>
      <c r="C99">
        <f t="shared" ref="C99:G99" si="27">SUM(C93:C97)</f>
        <v>11.490368395191764</v>
      </c>
      <c r="D99">
        <f t="shared" si="27"/>
        <v>16.578654827315543</v>
      </c>
      <c r="E99">
        <f t="shared" si="27"/>
        <v>38.727275715737257</v>
      </c>
      <c r="F99">
        <f t="shared" si="27"/>
        <v>3.9353942128106008</v>
      </c>
      <c r="G99">
        <f t="shared" si="27"/>
        <v>4.1967201915731325</v>
      </c>
    </row>
    <row r="102" spans="1:16" x14ac:dyDescent="0.25">
      <c r="A102" t="s">
        <v>72</v>
      </c>
      <c r="B102" t="s">
        <v>80</v>
      </c>
      <c r="C102" t="s">
        <v>0</v>
      </c>
      <c r="D102" t="s">
        <v>2</v>
      </c>
      <c r="E102" t="s">
        <v>63</v>
      </c>
      <c r="F102" t="s">
        <v>64</v>
      </c>
      <c r="G102" t="s">
        <v>65</v>
      </c>
      <c r="H102" t="s">
        <v>66</v>
      </c>
    </row>
    <row r="103" spans="1:16" x14ac:dyDescent="0.25">
      <c r="A103" t="s">
        <v>48</v>
      </c>
      <c r="B103" t="s">
        <v>48</v>
      </c>
      <c r="C103" s="6">
        <v>2.4883088180994499</v>
      </c>
      <c r="D103" s="6">
        <v>2.2686124772108611</v>
      </c>
      <c r="E103" s="6">
        <v>-1.4655287105051573</v>
      </c>
      <c r="F103" s="6">
        <v>-2.0763056158551207</v>
      </c>
      <c r="G103" s="6">
        <v>-1.8197375833118294</v>
      </c>
      <c r="H103" s="6">
        <v>-1.122853896195074</v>
      </c>
    </row>
    <row r="104" spans="1:16" x14ac:dyDescent="0.25">
      <c r="A104" t="s">
        <v>49</v>
      </c>
      <c r="B104" t="s">
        <v>49</v>
      </c>
      <c r="C104" s="6">
        <v>1.7307060849464544</v>
      </c>
      <c r="D104" s="6">
        <v>0.53669167151937391</v>
      </c>
      <c r="E104" s="6">
        <v>-1.6823839916205392</v>
      </c>
      <c r="F104" s="6">
        <v>-1.5094993557334204</v>
      </c>
      <c r="G104" s="6">
        <v>-0.54771972015889991</v>
      </c>
      <c r="H104" s="6">
        <v>0.8226683547258673</v>
      </c>
    </row>
    <row r="105" spans="1:16" x14ac:dyDescent="0.25">
      <c r="A105" t="s">
        <v>50</v>
      </c>
      <c r="B105" t="s">
        <v>50</v>
      </c>
      <c r="C105" s="6">
        <v>0.89840653026524542</v>
      </c>
      <c r="D105" s="6">
        <v>0.13410785002587425</v>
      </c>
      <c r="E105" s="6">
        <v>-0.18943642835292535</v>
      </c>
      <c r="F105" s="6">
        <v>-2.8447703227133907</v>
      </c>
      <c r="G105" s="6">
        <v>0.94131093284436518</v>
      </c>
      <c r="H105" s="6">
        <v>1.0286696599394156</v>
      </c>
    </row>
    <row r="106" spans="1:16" x14ac:dyDescent="0.25">
      <c r="A106" t="s">
        <v>51</v>
      </c>
      <c r="B106" t="s">
        <v>51</v>
      </c>
      <c r="C106" s="6">
        <v>-3.6926939207568199</v>
      </c>
      <c r="D106" s="6">
        <v>-3.2301162957854803</v>
      </c>
      <c r="E106" s="6">
        <v>3.9595754044599434</v>
      </c>
      <c r="F106" s="6">
        <v>5.2567505085942825</v>
      </c>
      <c r="G106" s="6">
        <v>1.0375426592668091</v>
      </c>
      <c r="H106" s="6">
        <v>-1.4336634516664148</v>
      </c>
    </row>
    <row r="107" spans="1:16" x14ac:dyDescent="0.25">
      <c r="A107" t="s">
        <v>74</v>
      </c>
      <c r="B107" t="s">
        <v>52</v>
      </c>
      <c r="C107" s="6">
        <v>-2.476805283211045</v>
      </c>
      <c r="D107" s="6">
        <v>0.34322320195023737</v>
      </c>
      <c r="E107" s="6">
        <v>0.12593810034321021</v>
      </c>
      <c r="F107" s="6">
        <v>3.3955933067103601</v>
      </c>
      <c r="G107" s="6">
        <v>-0.23739774742805125</v>
      </c>
      <c r="H107" s="6">
        <v>-0.58351963166487852</v>
      </c>
    </row>
    <row r="111" spans="1:16" x14ac:dyDescent="0.25">
      <c r="B111" t="s">
        <v>1</v>
      </c>
      <c r="C111" t="s">
        <v>2</v>
      </c>
      <c r="D111" t="s">
        <v>63</v>
      </c>
      <c r="E111" t="s">
        <v>64</v>
      </c>
      <c r="F111" t="s">
        <v>65</v>
      </c>
      <c r="G111" t="s">
        <v>66</v>
      </c>
      <c r="H111" t="s">
        <v>61</v>
      </c>
      <c r="J111" t="s">
        <v>67</v>
      </c>
      <c r="K111" t="s">
        <v>1</v>
      </c>
      <c r="L111" t="s">
        <v>2</v>
      </c>
      <c r="M111" t="s">
        <v>63</v>
      </c>
      <c r="N111" t="s">
        <v>64</v>
      </c>
      <c r="O111" t="s">
        <v>65</v>
      </c>
      <c r="P111" t="s">
        <v>66</v>
      </c>
    </row>
    <row r="112" spans="1:16" x14ac:dyDescent="0.25">
      <c r="A112" t="s">
        <v>54</v>
      </c>
      <c r="B112">
        <v>16</v>
      </c>
      <c r="C112">
        <v>21</v>
      </c>
      <c r="D112">
        <v>8</v>
      </c>
      <c r="E112">
        <v>6</v>
      </c>
      <c r="F112">
        <v>20</v>
      </c>
      <c r="G112">
        <v>0</v>
      </c>
      <c r="H112">
        <f>SUM(B112:G112)</f>
        <v>71</v>
      </c>
      <c r="J112" t="s">
        <v>54</v>
      </c>
      <c r="K112">
        <f>$H112*B$118/$H$118</f>
        <v>9.844537815126051</v>
      </c>
      <c r="L112">
        <f t="shared" ref="L112:P117" si="28">$H112*C$118/$H$118</f>
        <v>14.021008403361344</v>
      </c>
      <c r="M112">
        <f t="shared" si="28"/>
        <v>13.42436974789916</v>
      </c>
      <c r="N112">
        <f t="shared" si="28"/>
        <v>12.827731092436975</v>
      </c>
      <c r="O112">
        <f t="shared" si="28"/>
        <v>18.794117647058822</v>
      </c>
      <c r="P112">
        <f t="shared" si="28"/>
        <v>2.0882352941176472</v>
      </c>
    </row>
    <row r="113" spans="1:16" x14ac:dyDescent="0.25">
      <c r="A113" t="s">
        <v>55</v>
      </c>
      <c r="B113">
        <v>3</v>
      </c>
      <c r="C113">
        <v>1</v>
      </c>
      <c r="D113">
        <v>1</v>
      </c>
      <c r="E113">
        <v>0</v>
      </c>
      <c r="F113">
        <v>2</v>
      </c>
      <c r="G113">
        <v>0</v>
      </c>
      <c r="H113">
        <f t="shared" ref="H113:H117" si="29">SUM(B113:G113)</f>
        <v>7</v>
      </c>
      <c r="J113" t="s">
        <v>55</v>
      </c>
      <c r="K113">
        <f t="shared" ref="K113:K116" si="30">$H113*B$118/$H$118</f>
        <v>0.97058823529411764</v>
      </c>
      <c r="L113">
        <f t="shared" si="28"/>
        <v>1.3823529411764706</v>
      </c>
      <c r="M113">
        <f t="shared" si="28"/>
        <v>1.3235294117647058</v>
      </c>
      <c r="N113">
        <f t="shared" si="28"/>
        <v>1.2647058823529411</v>
      </c>
      <c r="O113">
        <f t="shared" si="28"/>
        <v>1.8529411764705883</v>
      </c>
      <c r="P113">
        <f t="shared" si="28"/>
        <v>0.20588235294117646</v>
      </c>
    </row>
    <row r="114" spans="1:16" x14ac:dyDescent="0.25">
      <c r="A114" t="s">
        <v>56</v>
      </c>
      <c r="B114">
        <v>6</v>
      </c>
      <c r="C114">
        <v>10</v>
      </c>
      <c r="D114">
        <v>29</v>
      </c>
      <c r="E114">
        <v>33</v>
      </c>
      <c r="F114">
        <v>37</v>
      </c>
      <c r="G114">
        <v>1</v>
      </c>
      <c r="H114">
        <f t="shared" si="29"/>
        <v>116</v>
      </c>
      <c r="J114" t="s">
        <v>56</v>
      </c>
      <c r="K114">
        <f t="shared" si="30"/>
        <v>16.084033613445378</v>
      </c>
      <c r="L114">
        <f t="shared" si="28"/>
        <v>22.907563025210084</v>
      </c>
      <c r="M114">
        <f t="shared" si="28"/>
        <v>21.932773109243698</v>
      </c>
      <c r="N114">
        <f t="shared" si="28"/>
        <v>20.957983193277311</v>
      </c>
      <c r="O114">
        <f t="shared" si="28"/>
        <v>30.705882352941178</v>
      </c>
      <c r="P114">
        <f t="shared" si="28"/>
        <v>3.4117647058823528</v>
      </c>
    </row>
    <row r="115" spans="1:16" x14ac:dyDescent="0.25">
      <c r="A115" t="s">
        <v>57</v>
      </c>
      <c r="B115">
        <v>2</v>
      </c>
      <c r="C115">
        <v>6</v>
      </c>
      <c r="D115">
        <v>6</v>
      </c>
      <c r="E115">
        <v>4</v>
      </c>
      <c r="F115">
        <v>0</v>
      </c>
      <c r="G115">
        <v>6</v>
      </c>
      <c r="H115">
        <f t="shared" si="29"/>
        <v>24</v>
      </c>
      <c r="J115" t="s">
        <v>57</v>
      </c>
      <c r="K115">
        <f t="shared" si="30"/>
        <v>3.327731092436975</v>
      </c>
      <c r="L115">
        <f t="shared" si="28"/>
        <v>4.7394957983193278</v>
      </c>
      <c r="M115">
        <f t="shared" si="28"/>
        <v>4.53781512605042</v>
      </c>
      <c r="N115">
        <f t="shared" si="28"/>
        <v>4.3361344537815123</v>
      </c>
      <c r="O115">
        <f t="shared" si="28"/>
        <v>6.3529411764705879</v>
      </c>
      <c r="P115">
        <f t="shared" si="28"/>
        <v>0.70588235294117652</v>
      </c>
    </row>
    <row r="116" spans="1:16" x14ac:dyDescent="0.25">
      <c r="A116" t="s">
        <v>58</v>
      </c>
      <c r="B116">
        <v>6</v>
      </c>
      <c r="C116">
        <v>9</v>
      </c>
      <c r="D116">
        <v>1</v>
      </c>
      <c r="E116">
        <v>0</v>
      </c>
      <c r="F116">
        <v>3</v>
      </c>
      <c r="G116">
        <v>0</v>
      </c>
      <c r="H116">
        <f t="shared" si="29"/>
        <v>19</v>
      </c>
      <c r="J116" t="s">
        <v>58</v>
      </c>
      <c r="K116">
        <f t="shared" si="30"/>
        <v>2.634453781512605</v>
      </c>
      <c r="L116">
        <f t="shared" si="28"/>
        <v>3.7521008403361344</v>
      </c>
      <c r="M116">
        <f t="shared" si="28"/>
        <v>3.5924369747899161</v>
      </c>
      <c r="N116">
        <f t="shared" si="28"/>
        <v>3.4327731092436973</v>
      </c>
      <c r="O116">
        <f t="shared" si="28"/>
        <v>5.0294117647058822</v>
      </c>
      <c r="P116">
        <f t="shared" si="28"/>
        <v>0.55882352941176472</v>
      </c>
    </row>
    <row r="117" spans="1:16" x14ac:dyDescent="0.25">
      <c r="A117" t="s">
        <v>59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f t="shared" si="29"/>
        <v>1</v>
      </c>
      <c r="J117" t="s">
        <v>79</v>
      </c>
      <c r="K117">
        <f>$H117*B$118/$H$118</f>
        <v>0.13865546218487396</v>
      </c>
      <c r="L117">
        <f t="shared" si="28"/>
        <v>0.19747899159663865</v>
      </c>
      <c r="M117">
        <f t="shared" si="28"/>
        <v>0.18907563025210083</v>
      </c>
      <c r="N117">
        <f t="shared" si="28"/>
        <v>0.18067226890756302</v>
      </c>
      <c r="O117">
        <f t="shared" si="28"/>
        <v>0.26470588235294118</v>
      </c>
      <c r="P117">
        <f t="shared" si="28"/>
        <v>2.9411764705882353E-2</v>
      </c>
    </row>
    <row r="118" spans="1:16" x14ac:dyDescent="0.25">
      <c r="A118" t="s">
        <v>61</v>
      </c>
      <c r="B118">
        <f>SUM(B112:B117)</f>
        <v>33</v>
      </c>
      <c r="C118">
        <f t="shared" ref="C118:G118" si="31">SUM(C112:C117)</f>
        <v>47</v>
      </c>
      <c r="D118">
        <f t="shared" si="31"/>
        <v>45</v>
      </c>
      <c r="E118">
        <f t="shared" si="31"/>
        <v>43</v>
      </c>
      <c r="F118">
        <f t="shared" si="31"/>
        <v>63</v>
      </c>
      <c r="G118">
        <f t="shared" si="31"/>
        <v>7</v>
      </c>
      <c r="H118">
        <f>SUM(B118:G118)</f>
        <v>238</v>
      </c>
    </row>
    <row r="121" spans="1:16" x14ac:dyDescent="0.25">
      <c r="A121" t="s">
        <v>71</v>
      </c>
      <c r="B121" t="s">
        <v>1</v>
      </c>
      <c r="C121" t="s">
        <v>2</v>
      </c>
      <c r="D121" t="s">
        <v>63</v>
      </c>
      <c r="E121" t="s">
        <v>64</v>
      </c>
      <c r="F121" t="s">
        <v>65</v>
      </c>
      <c r="G121" t="s">
        <v>66</v>
      </c>
      <c r="J121" t="s">
        <v>73</v>
      </c>
      <c r="K121" t="s">
        <v>1</v>
      </c>
      <c r="L121" t="s">
        <v>2</v>
      </c>
      <c r="M121" t="s">
        <v>63</v>
      </c>
      <c r="N121" t="s">
        <v>64</v>
      </c>
      <c r="O121" t="s">
        <v>65</v>
      </c>
      <c r="P121" t="s">
        <v>66</v>
      </c>
    </row>
    <row r="122" spans="1:16" x14ac:dyDescent="0.25">
      <c r="A122" t="s">
        <v>54</v>
      </c>
      <c r="B122">
        <f>((B112-K112)^2)/K112</f>
        <v>3.8488058475630962</v>
      </c>
      <c r="C122">
        <f t="shared" ref="C122:G127" si="32">((C112-L112)^2)/L112</f>
        <v>3.4738103212516651</v>
      </c>
      <c r="D122">
        <f t="shared" si="32"/>
        <v>2.1918188871792852</v>
      </c>
      <c r="E122">
        <f t="shared" si="32"/>
        <v>3.6341510072748395</v>
      </c>
      <c r="F122">
        <f t="shared" si="32"/>
        <v>7.7372733130811139E-2</v>
      </c>
      <c r="G122">
        <f t="shared" si="32"/>
        <v>2.0882352941176472</v>
      </c>
      <c r="J122" t="s">
        <v>54</v>
      </c>
      <c r="K122">
        <f>(B112-K112)/SQRT(K112*(1-$H112/$H$118)*(1-B$118/$H$118))</f>
        <v>2.5235086214445861</v>
      </c>
      <c r="L122">
        <f t="shared" ref="L122:P127" si="33">(C112-L112)/SQRT(L112*(1-$H112/$H$118)*(1-C$118/$H$118))</f>
        <v>2.4837340344014081</v>
      </c>
      <c r="M122">
        <f t="shared" si="33"/>
        <v>-1.9626479249720317</v>
      </c>
      <c r="N122">
        <f t="shared" si="33"/>
        <v>-2.5142178213244453</v>
      </c>
      <c r="O122">
        <f t="shared" si="33"/>
        <v>0.3872519972059611</v>
      </c>
      <c r="P122">
        <f t="shared" si="33"/>
        <v>-1.7510657252129647</v>
      </c>
    </row>
    <row r="123" spans="1:16" x14ac:dyDescent="0.25">
      <c r="A123" t="s">
        <v>55</v>
      </c>
      <c r="B123">
        <f t="shared" ref="B123:B127" si="34">((B113-K113)^2)/K113</f>
        <v>4.2433155080213893</v>
      </c>
      <c r="C123">
        <f t="shared" si="32"/>
        <v>0.10575719649561952</v>
      </c>
      <c r="D123">
        <f t="shared" si="32"/>
        <v>7.9084967320261421E-2</v>
      </c>
      <c r="E123">
        <f t="shared" si="32"/>
        <v>1.2647058823529411</v>
      </c>
      <c r="F123">
        <f t="shared" si="32"/>
        <v>1.1671335200746953E-2</v>
      </c>
      <c r="G123">
        <f t="shared" si="32"/>
        <v>0.20588235294117646</v>
      </c>
      <c r="J123" t="s">
        <v>55</v>
      </c>
      <c r="K123">
        <f t="shared" ref="K123:K127" si="35">(B113-K113)/SQRT(K113*(1-$H113/$H$118)*(1-B$118/$H$118))</f>
        <v>2.2529248162725399</v>
      </c>
      <c r="L123">
        <f t="shared" si="33"/>
        <v>-0.36847603576441651</v>
      </c>
      <c r="M123">
        <f t="shared" si="33"/>
        <v>-0.31698541664525309</v>
      </c>
      <c r="N123">
        <f t="shared" si="33"/>
        <v>-1.2610968203770836</v>
      </c>
      <c r="O123">
        <f t="shared" si="33"/>
        <v>0.127882822748078</v>
      </c>
      <c r="P123">
        <f t="shared" si="33"/>
        <v>-0.46749238244065189</v>
      </c>
    </row>
    <row r="124" spans="1:16" x14ac:dyDescent="0.25">
      <c r="A124" t="s">
        <v>56</v>
      </c>
      <c r="B124">
        <f t="shared" si="34"/>
        <v>6.3222781275519608</v>
      </c>
      <c r="C124">
        <f t="shared" si="32"/>
        <v>7.2729335314463279</v>
      </c>
      <c r="D124">
        <f t="shared" si="32"/>
        <v>2.2772175536881418</v>
      </c>
      <c r="E124">
        <f t="shared" si="32"/>
        <v>6.919089849251649</v>
      </c>
      <c r="F124">
        <f t="shared" si="32"/>
        <v>1.2901735406806396</v>
      </c>
      <c r="G124">
        <f t="shared" si="32"/>
        <v>1.7048681541582149</v>
      </c>
      <c r="J124" t="s">
        <v>56</v>
      </c>
      <c r="K124">
        <f t="shared" si="35"/>
        <v>-3.7840503796027849</v>
      </c>
      <c r="L124">
        <f t="shared" si="33"/>
        <v>-4.2047014761183785</v>
      </c>
      <c r="M124">
        <f t="shared" si="33"/>
        <v>2.3405646884596703</v>
      </c>
      <c r="N124">
        <f t="shared" si="33"/>
        <v>4.0588613969278144</v>
      </c>
      <c r="O124">
        <f t="shared" si="33"/>
        <v>1.8501293079477246</v>
      </c>
      <c r="P124">
        <f t="shared" si="33"/>
        <v>-1.851128004510501</v>
      </c>
    </row>
    <row r="125" spans="1:16" x14ac:dyDescent="0.25">
      <c r="A125" t="s">
        <v>57</v>
      </c>
      <c r="B125">
        <f t="shared" si="34"/>
        <v>0.52975129445717695</v>
      </c>
      <c r="C125">
        <f t="shared" si="32"/>
        <v>0.33524047917039151</v>
      </c>
      <c r="D125">
        <f t="shared" si="32"/>
        <v>0.47114845938375355</v>
      </c>
      <c r="E125">
        <f>((E115-N115)^2)/N115</f>
        <v>2.6056934401667599E-2</v>
      </c>
      <c r="F125">
        <f t="shared" si="32"/>
        <v>6.3529411764705879</v>
      </c>
      <c r="G125">
        <f t="shared" si="32"/>
        <v>39.705882352941174</v>
      </c>
      <c r="J125" t="s">
        <v>57</v>
      </c>
      <c r="K125">
        <f t="shared" si="35"/>
        <v>-0.82704502425821391</v>
      </c>
      <c r="L125">
        <f t="shared" si="33"/>
        <v>0.68160318812038334</v>
      </c>
      <c r="M125">
        <f t="shared" si="33"/>
        <v>0.80384127743952682</v>
      </c>
      <c r="N125">
        <f t="shared" si="33"/>
        <v>-0.18806779145509095</v>
      </c>
      <c r="O125">
        <f t="shared" si="33"/>
        <v>-3.0998341830841243</v>
      </c>
      <c r="P125">
        <f t="shared" si="33"/>
        <v>6.7451483555328728</v>
      </c>
    </row>
    <row r="126" spans="1:16" x14ac:dyDescent="0.25">
      <c r="A126" t="s">
        <v>58</v>
      </c>
      <c r="B126">
        <f t="shared" si="34"/>
        <v>4.299525551847533</v>
      </c>
      <c r="C126">
        <f t="shared" si="32"/>
        <v>7.3400067753865272</v>
      </c>
      <c r="D126">
        <f t="shared" si="32"/>
        <v>1.8707995478893313</v>
      </c>
      <c r="E126">
        <f t="shared" si="32"/>
        <v>3.4327731092436973</v>
      </c>
      <c r="F126">
        <f t="shared" si="32"/>
        <v>0.81888544891640858</v>
      </c>
      <c r="G126">
        <f t="shared" si="32"/>
        <v>0.55882352941176472</v>
      </c>
      <c r="J126" t="s">
        <v>58</v>
      </c>
      <c r="K126">
        <f t="shared" si="35"/>
        <v>2.3291005409264507</v>
      </c>
      <c r="L126">
        <f t="shared" si="33"/>
        <v>3.1527275832000812</v>
      </c>
      <c r="M126">
        <f t="shared" si="33"/>
        <v>-1.5833972023830365</v>
      </c>
      <c r="N126">
        <f t="shared" si="33"/>
        <v>-2.133831606720658</v>
      </c>
      <c r="O126">
        <f t="shared" si="33"/>
        <v>-1.1001387253853605</v>
      </c>
      <c r="P126">
        <f t="shared" si="33"/>
        <v>-0.79101779136571349</v>
      </c>
    </row>
    <row r="127" spans="1:16" x14ac:dyDescent="0.25">
      <c r="A127" t="s">
        <v>59</v>
      </c>
      <c r="B127">
        <f t="shared" si="34"/>
        <v>0.13865546218487396</v>
      </c>
      <c r="C127">
        <f t="shared" si="32"/>
        <v>0.19747899159663862</v>
      </c>
      <c r="D127">
        <f t="shared" si="32"/>
        <v>0.18907563025210083</v>
      </c>
      <c r="E127">
        <f t="shared" si="32"/>
        <v>0.18067226890756302</v>
      </c>
      <c r="F127">
        <f t="shared" si="32"/>
        <v>2.0424836601307192</v>
      </c>
      <c r="G127">
        <f t="shared" si="32"/>
        <v>2.9411764705882353E-2</v>
      </c>
      <c r="H127" t="s">
        <v>70</v>
      </c>
      <c r="J127" t="s">
        <v>79</v>
      </c>
      <c r="K127">
        <f t="shared" si="35"/>
        <v>-0.40206321858408139</v>
      </c>
      <c r="L127">
        <f t="shared" si="33"/>
        <v>-0.49710319088589316</v>
      </c>
      <c r="M127">
        <f t="shared" si="33"/>
        <v>-0.48388471959081264</v>
      </c>
      <c r="N127">
        <f t="shared" si="33"/>
        <v>-0.47057757527813282</v>
      </c>
      <c r="O127">
        <f t="shared" si="33"/>
        <v>1.670179139828603</v>
      </c>
      <c r="P127">
        <f t="shared" si="33"/>
        <v>-0.17444452181248013</v>
      </c>
    </row>
    <row r="128" spans="1:16" x14ac:dyDescent="0.25">
      <c r="H128">
        <f>SUM(B129:G129)</f>
        <v>115.53078452692421</v>
      </c>
    </row>
    <row r="129" spans="1:8" x14ac:dyDescent="0.25">
      <c r="A129" t="s">
        <v>15</v>
      </c>
      <c r="B129">
        <f>SUM(B122:B127)</f>
        <v>19.382331791626033</v>
      </c>
      <c r="C129">
        <f t="shared" ref="C129:G129" si="36">SUM(C122:C127)</f>
        <v>18.725227295347171</v>
      </c>
      <c r="D129">
        <f t="shared" si="36"/>
        <v>7.079145045712874</v>
      </c>
      <c r="E129">
        <f t="shared" si="36"/>
        <v>15.457449051432357</v>
      </c>
      <c r="F129">
        <f t="shared" si="36"/>
        <v>10.593527894529913</v>
      </c>
      <c r="G129">
        <f t="shared" si="36"/>
        <v>44.293103448275865</v>
      </c>
    </row>
    <row r="132" spans="1:8" x14ac:dyDescent="0.25">
      <c r="A132" t="s">
        <v>72</v>
      </c>
      <c r="B132" t="s">
        <v>80</v>
      </c>
      <c r="C132" t="s">
        <v>0</v>
      </c>
      <c r="D132" t="s">
        <v>2</v>
      </c>
      <c r="E132" t="s">
        <v>63</v>
      </c>
      <c r="F132" t="s">
        <v>64</v>
      </c>
      <c r="G132" t="s">
        <v>65</v>
      </c>
      <c r="H132" t="s">
        <v>66</v>
      </c>
    </row>
    <row r="133" spans="1:8" x14ac:dyDescent="0.25">
      <c r="A133" t="s">
        <v>75</v>
      </c>
      <c r="B133" t="s">
        <v>54</v>
      </c>
      <c r="C133" s="6">
        <v>2.5235086214445861</v>
      </c>
      <c r="D133" s="6">
        <v>2.4837340344014081</v>
      </c>
      <c r="E133" s="6">
        <v>-1.9626479249720317</v>
      </c>
      <c r="F133" s="6">
        <v>-2.5142178213244453</v>
      </c>
      <c r="G133" s="6">
        <v>0.3872519972059611</v>
      </c>
      <c r="H133" s="6">
        <v>-1.7510657252129647</v>
      </c>
    </row>
    <row r="134" spans="1:8" x14ac:dyDescent="0.25">
      <c r="A134" t="s">
        <v>55</v>
      </c>
      <c r="B134" t="s">
        <v>55</v>
      </c>
      <c r="C134" s="6">
        <v>2.2529248162725399</v>
      </c>
      <c r="D134" s="6">
        <v>-0.36847603576441651</v>
      </c>
      <c r="E134" s="6">
        <v>-0.31698541664525309</v>
      </c>
      <c r="F134" s="6">
        <v>-1.2610968203770836</v>
      </c>
      <c r="G134" s="6">
        <v>0.127882822748078</v>
      </c>
      <c r="H134" s="6">
        <v>-0.46749238244065189</v>
      </c>
    </row>
    <row r="135" spans="1:8" x14ac:dyDescent="0.25">
      <c r="A135" t="s">
        <v>56</v>
      </c>
      <c r="B135" t="s">
        <v>56</v>
      </c>
      <c r="C135" s="6">
        <v>-3.7840503796027849</v>
      </c>
      <c r="D135" s="6">
        <v>-4.2047014761183785</v>
      </c>
      <c r="E135" s="6">
        <v>2.3405646884596703</v>
      </c>
      <c r="F135" s="6">
        <v>4.0588613969278144</v>
      </c>
      <c r="G135" s="6">
        <v>1.8501293079477246</v>
      </c>
      <c r="H135" s="6">
        <v>-1.851128004510501</v>
      </c>
    </row>
    <row r="136" spans="1:8" x14ac:dyDescent="0.25">
      <c r="A136" t="s">
        <v>76</v>
      </c>
      <c r="B136" t="s">
        <v>57</v>
      </c>
      <c r="C136" s="6">
        <v>-0.82704502425821391</v>
      </c>
      <c r="D136" s="6">
        <v>0.68160318812038334</v>
      </c>
      <c r="E136" s="6">
        <v>0.80384127743952682</v>
      </c>
      <c r="F136" s="6">
        <v>-0.18806779145509095</v>
      </c>
      <c r="G136" s="6">
        <v>-3.0998341830841243</v>
      </c>
      <c r="H136" s="6">
        <v>6.7451483555328728</v>
      </c>
    </row>
    <row r="137" spans="1:8" x14ac:dyDescent="0.25">
      <c r="A137" t="s">
        <v>77</v>
      </c>
      <c r="B137" t="s">
        <v>58</v>
      </c>
      <c r="C137" s="6">
        <v>2.3291005409264507</v>
      </c>
      <c r="D137" s="6">
        <v>3.1527275832000812</v>
      </c>
      <c r="E137" s="6">
        <v>-1.5833972023830365</v>
      </c>
      <c r="F137" s="6">
        <v>-2.133831606720658</v>
      </c>
      <c r="G137" s="6">
        <v>-1.1001387253853605</v>
      </c>
      <c r="H137" s="6">
        <v>-0.79101779136571349</v>
      </c>
    </row>
    <row r="138" spans="1:8" x14ac:dyDescent="0.25">
      <c r="A138" t="s">
        <v>78</v>
      </c>
      <c r="B138" t="s">
        <v>79</v>
      </c>
      <c r="C138" s="6">
        <v>-0.40206321858408139</v>
      </c>
      <c r="D138" s="6">
        <v>-0.49710319088589316</v>
      </c>
      <c r="E138" s="6">
        <v>-0.48388471959081264</v>
      </c>
      <c r="F138" s="6">
        <v>-0.47057757527813282</v>
      </c>
      <c r="G138" s="6">
        <v>1.670179139828603</v>
      </c>
      <c r="H138" s="6">
        <v>-0.17444452181248013</v>
      </c>
    </row>
  </sheetData>
  <phoneticPr fontId="2" type="noConversion"/>
  <pageMargins left="0.7" right="0.7" top="0.75" bottom="0.75" header="0.3" footer="0.3"/>
  <pageSetup paperSize="9"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8DE67-3B52-43EA-968F-4153E5B0E745}">
  <dimension ref="A1:R34"/>
  <sheetViews>
    <sheetView tabSelected="1" topLeftCell="I10" workbookViewId="0">
      <selection activeCell="L16" sqref="L16"/>
    </sheetView>
  </sheetViews>
  <sheetFormatPr defaultRowHeight="15.75" x14ac:dyDescent="0.25"/>
  <cols>
    <col min="1" max="3" width="17.7109375" customWidth="1"/>
    <col min="5" max="7" width="11.7109375" customWidth="1"/>
    <col min="8" max="9" width="17.7109375" customWidth="1"/>
    <col min="11" max="11" width="17.7109375" customWidth="1"/>
    <col min="12" max="13" width="9.7109375" customWidth="1"/>
    <col min="14" max="16" width="12.7109375" customWidth="1"/>
    <col min="17" max="18" width="9.7109375" customWidth="1"/>
  </cols>
  <sheetData>
    <row r="1" spans="1:18" ht="17.25" thickBot="1" x14ac:dyDescent="0.3">
      <c r="A1" s="7" t="s">
        <v>81</v>
      </c>
      <c r="B1" s="8" t="s">
        <v>82</v>
      </c>
      <c r="C1" s="9" t="s">
        <v>83</v>
      </c>
      <c r="E1" s="7" t="s">
        <v>20</v>
      </c>
      <c r="F1" s="8" t="s">
        <v>21</v>
      </c>
      <c r="G1" s="8" t="s">
        <v>22</v>
      </c>
      <c r="H1" s="8" t="s">
        <v>83</v>
      </c>
      <c r="I1" s="9" t="s">
        <v>23</v>
      </c>
      <c r="K1" s="7" t="s">
        <v>85</v>
      </c>
      <c r="L1" s="8" t="s">
        <v>0</v>
      </c>
      <c r="M1" s="8" t="s">
        <v>2</v>
      </c>
      <c r="N1" s="8" t="s">
        <v>63</v>
      </c>
      <c r="O1" s="8" t="s">
        <v>64</v>
      </c>
      <c r="P1" s="8" t="s">
        <v>65</v>
      </c>
      <c r="Q1" s="8" t="s">
        <v>66</v>
      </c>
      <c r="R1" s="9" t="s">
        <v>60</v>
      </c>
    </row>
    <row r="2" spans="1:18" ht="17.25" thickBot="1" x14ac:dyDescent="0.3">
      <c r="A2" s="10" t="s">
        <v>4</v>
      </c>
      <c r="B2" s="11">
        <v>118</v>
      </c>
      <c r="C2" s="12">
        <v>9.3100000000000002E-2</v>
      </c>
      <c r="E2" s="16">
        <v>1</v>
      </c>
      <c r="F2" s="17" t="s">
        <v>24</v>
      </c>
      <c r="G2" s="11">
        <v>44</v>
      </c>
      <c r="H2" s="11">
        <v>3.47</v>
      </c>
      <c r="I2" s="18" t="s">
        <v>25</v>
      </c>
      <c r="K2" s="10" t="s">
        <v>4</v>
      </c>
      <c r="L2" s="11">
        <v>58</v>
      </c>
      <c r="M2" s="11">
        <v>14</v>
      </c>
      <c r="N2" s="11">
        <v>8</v>
      </c>
      <c r="O2" s="11">
        <v>7</v>
      </c>
      <c r="P2" s="11">
        <v>21</v>
      </c>
      <c r="Q2" s="11">
        <v>10</v>
      </c>
      <c r="R2" s="23">
        <v>118</v>
      </c>
    </row>
    <row r="3" spans="1:18" ht="17.25" thickBot="1" x14ac:dyDescent="0.3">
      <c r="A3" s="13" t="s">
        <v>29</v>
      </c>
      <c r="B3" s="14">
        <v>349</v>
      </c>
      <c r="C3" s="15">
        <v>0.27550000000000002</v>
      </c>
      <c r="E3" s="19">
        <v>2</v>
      </c>
      <c r="F3" s="20" t="s">
        <v>26</v>
      </c>
      <c r="G3" s="14">
        <v>26</v>
      </c>
      <c r="H3" s="14">
        <v>2.0499999999999998</v>
      </c>
      <c r="I3" s="21" t="s">
        <v>27</v>
      </c>
      <c r="K3" s="13" t="s">
        <v>29</v>
      </c>
      <c r="L3" s="14">
        <v>115</v>
      </c>
      <c r="M3" s="14">
        <v>72</v>
      </c>
      <c r="N3" s="14">
        <v>28</v>
      </c>
      <c r="O3" s="14">
        <v>52</v>
      </c>
      <c r="P3" s="14">
        <v>65</v>
      </c>
      <c r="Q3" s="14">
        <v>17</v>
      </c>
      <c r="R3" s="24">
        <v>349</v>
      </c>
    </row>
    <row r="4" spans="1:18" ht="17.25" thickBot="1" x14ac:dyDescent="0.3">
      <c r="A4" s="10" t="s">
        <v>6</v>
      </c>
      <c r="B4" s="11">
        <v>238</v>
      </c>
      <c r="C4" s="12">
        <v>0.18779999999999999</v>
      </c>
      <c r="E4" s="16">
        <v>3</v>
      </c>
      <c r="F4" s="17" t="s">
        <v>28</v>
      </c>
      <c r="G4" s="11">
        <v>23</v>
      </c>
      <c r="H4" s="11">
        <v>1.82</v>
      </c>
      <c r="I4" s="18" t="s">
        <v>29</v>
      </c>
      <c r="K4" s="10" t="s">
        <v>6</v>
      </c>
      <c r="L4" s="11">
        <v>33</v>
      </c>
      <c r="M4" s="11">
        <v>47</v>
      </c>
      <c r="N4" s="11">
        <v>45</v>
      </c>
      <c r="O4" s="11">
        <v>43</v>
      </c>
      <c r="P4" s="11">
        <v>63</v>
      </c>
      <c r="Q4" s="11">
        <v>7</v>
      </c>
      <c r="R4" s="23">
        <v>238</v>
      </c>
    </row>
    <row r="5" spans="1:18" ht="17.25" thickBot="1" x14ac:dyDescent="0.3">
      <c r="A5" s="13" t="s">
        <v>27</v>
      </c>
      <c r="B5" s="14">
        <v>139</v>
      </c>
      <c r="C5" s="15">
        <v>0.10970000000000001</v>
      </c>
      <c r="E5" s="19">
        <v>4</v>
      </c>
      <c r="F5" s="20" t="s">
        <v>30</v>
      </c>
      <c r="G5" s="14">
        <v>18</v>
      </c>
      <c r="H5" s="14">
        <v>1.42</v>
      </c>
      <c r="I5" s="21" t="s">
        <v>6</v>
      </c>
      <c r="K5" s="13" t="s">
        <v>27</v>
      </c>
      <c r="L5" s="14">
        <v>36</v>
      </c>
      <c r="M5" s="14">
        <v>36</v>
      </c>
      <c r="N5" s="14">
        <v>26</v>
      </c>
      <c r="O5" s="14">
        <v>9</v>
      </c>
      <c r="P5" s="14">
        <v>24</v>
      </c>
      <c r="Q5" s="14">
        <v>8</v>
      </c>
      <c r="R5" s="24">
        <v>139</v>
      </c>
    </row>
    <row r="6" spans="1:18" ht="17.25" thickBot="1" x14ac:dyDescent="0.3">
      <c r="A6" s="10" t="s">
        <v>37</v>
      </c>
      <c r="B6" s="11">
        <v>131</v>
      </c>
      <c r="C6" s="12">
        <v>0.10340000000000001</v>
      </c>
      <c r="E6" s="16">
        <v>5</v>
      </c>
      <c r="F6" s="17" t="s">
        <v>31</v>
      </c>
      <c r="G6" s="11">
        <v>16</v>
      </c>
      <c r="H6" s="11">
        <v>1.26</v>
      </c>
      <c r="I6" s="18" t="s">
        <v>27</v>
      </c>
      <c r="K6" s="10" t="s">
        <v>37</v>
      </c>
      <c r="L6" s="11">
        <v>48</v>
      </c>
      <c r="M6" s="11">
        <v>21</v>
      </c>
      <c r="N6" s="11">
        <v>20</v>
      </c>
      <c r="O6" s="11">
        <v>5</v>
      </c>
      <c r="P6" s="11">
        <v>28</v>
      </c>
      <c r="Q6" s="11">
        <v>9</v>
      </c>
      <c r="R6" s="23">
        <v>131</v>
      </c>
    </row>
    <row r="7" spans="1:18" ht="17.25" thickBot="1" x14ac:dyDescent="0.3">
      <c r="A7" s="13" t="s">
        <v>9</v>
      </c>
      <c r="B7" s="14">
        <v>114</v>
      </c>
      <c r="C7" s="15">
        <v>0.09</v>
      </c>
      <c r="E7" s="19">
        <v>6</v>
      </c>
      <c r="F7" s="20" t="s">
        <v>32</v>
      </c>
      <c r="G7" s="14">
        <v>16</v>
      </c>
      <c r="H7" s="14">
        <v>1.26</v>
      </c>
      <c r="I7" s="21" t="s">
        <v>4</v>
      </c>
      <c r="K7" s="13" t="s">
        <v>9</v>
      </c>
      <c r="L7" s="14">
        <v>10</v>
      </c>
      <c r="M7" s="14">
        <v>27</v>
      </c>
      <c r="N7" s="14">
        <v>16</v>
      </c>
      <c r="O7" s="14">
        <v>55</v>
      </c>
      <c r="P7" s="14">
        <v>4</v>
      </c>
      <c r="Q7" s="14">
        <v>2</v>
      </c>
      <c r="R7" s="24">
        <v>114</v>
      </c>
    </row>
    <row r="8" spans="1:18" ht="17.25" thickBot="1" x14ac:dyDescent="0.3">
      <c r="A8" s="10" t="s">
        <v>25</v>
      </c>
      <c r="B8" s="11">
        <v>178</v>
      </c>
      <c r="C8" s="12">
        <v>0.14050000000000001</v>
      </c>
      <c r="E8" s="16">
        <v>7</v>
      </c>
      <c r="F8" s="17" t="s">
        <v>33</v>
      </c>
      <c r="G8" s="11">
        <v>16</v>
      </c>
      <c r="H8" s="11">
        <v>1.26</v>
      </c>
      <c r="I8" s="18" t="s">
        <v>27</v>
      </c>
      <c r="K8" s="10" t="s">
        <v>25</v>
      </c>
      <c r="L8" s="11">
        <v>50</v>
      </c>
      <c r="M8" s="11">
        <v>28</v>
      </c>
      <c r="N8" s="11">
        <v>17</v>
      </c>
      <c r="O8" s="11">
        <v>45</v>
      </c>
      <c r="P8" s="11">
        <v>32</v>
      </c>
      <c r="Q8" s="11">
        <v>6</v>
      </c>
      <c r="R8" s="23">
        <v>178</v>
      </c>
    </row>
    <row r="9" spans="1:18" ht="17.25" thickBot="1" x14ac:dyDescent="0.3">
      <c r="E9" s="19">
        <v>8</v>
      </c>
      <c r="F9" s="20" t="s">
        <v>34</v>
      </c>
      <c r="G9" s="14">
        <v>15</v>
      </c>
      <c r="H9" s="14">
        <v>1.18</v>
      </c>
      <c r="I9" s="21" t="s">
        <v>4</v>
      </c>
      <c r="K9" s="13" t="s">
        <v>60</v>
      </c>
      <c r="L9" s="14">
        <v>350</v>
      </c>
      <c r="M9" s="14">
        <v>245</v>
      </c>
      <c r="N9" s="14">
        <v>160</v>
      </c>
      <c r="O9" s="14">
        <v>216</v>
      </c>
      <c r="P9" s="14">
        <v>237</v>
      </c>
      <c r="Q9" s="14">
        <v>59</v>
      </c>
      <c r="R9" s="24">
        <v>1267</v>
      </c>
    </row>
    <row r="10" spans="1:18" ht="17.25" thickBot="1" x14ac:dyDescent="0.3">
      <c r="A10" s="7" t="s">
        <v>29</v>
      </c>
      <c r="B10" s="8" t="s">
        <v>82</v>
      </c>
      <c r="C10" s="9" t="s">
        <v>83</v>
      </c>
      <c r="E10" s="16">
        <v>9</v>
      </c>
      <c r="F10" s="17" t="s">
        <v>35</v>
      </c>
      <c r="G10" s="11">
        <v>15</v>
      </c>
      <c r="H10" s="11">
        <v>1.18</v>
      </c>
      <c r="I10" s="18" t="s">
        <v>27</v>
      </c>
    </row>
    <row r="11" spans="1:18" ht="17.25" thickBot="1" x14ac:dyDescent="0.3">
      <c r="A11" s="10" t="s">
        <v>50</v>
      </c>
      <c r="B11" s="11">
        <v>143</v>
      </c>
      <c r="C11" s="12">
        <v>0.40970000000000001</v>
      </c>
      <c r="E11" s="19">
        <v>10</v>
      </c>
      <c r="F11" s="20" t="s">
        <v>36</v>
      </c>
      <c r="G11" s="14">
        <v>14</v>
      </c>
      <c r="H11" s="14">
        <v>1.1000000000000001</v>
      </c>
      <c r="I11" s="21" t="s">
        <v>37</v>
      </c>
      <c r="K11" s="7" t="s">
        <v>72</v>
      </c>
      <c r="L11" s="8" t="s">
        <v>0</v>
      </c>
      <c r="M11" s="8" t="s">
        <v>2</v>
      </c>
      <c r="N11" s="8" t="s">
        <v>63</v>
      </c>
      <c r="O11" s="8" t="s">
        <v>64</v>
      </c>
      <c r="P11" s="8" t="s">
        <v>65</v>
      </c>
      <c r="Q11" s="9" t="s">
        <v>66</v>
      </c>
    </row>
    <row r="12" spans="1:18" ht="17.25" thickBot="1" x14ac:dyDescent="0.3">
      <c r="A12" s="13" t="s">
        <v>49</v>
      </c>
      <c r="B12" s="14">
        <v>112</v>
      </c>
      <c r="C12" s="15">
        <v>0.32090000000000002</v>
      </c>
      <c r="E12" s="16">
        <v>11</v>
      </c>
      <c r="F12" s="17" t="s">
        <v>38</v>
      </c>
      <c r="G12" s="11">
        <v>14</v>
      </c>
      <c r="H12" s="11">
        <v>1.1000000000000001</v>
      </c>
      <c r="I12" s="18" t="s">
        <v>37</v>
      </c>
      <c r="K12" s="10" t="s">
        <v>4</v>
      </c>
      <c r="L12" s="25">
        <v>5.4920642134221636</v>
      </c>
      <c r="M12" s="25">
        <v>-2.1582896415477171</v>
      </c>
      <c r="N12" s="25">
        <v>-2.0084620800211743</v>
      </c>
      <c r="O12" s="25">
        <v>-3.3718165941885085</v>
      </c>
      <c r="P12" s="25">
        <v>-0.2658973204616274</v>
      </c>
      <c r="Q12" s="26">
        <v>2.0668634289343135</v>
      </c>
    </row>
    <row r="13" spans="1:18" ht="17.25" thickBot="1" x14ac:dyDescent="0.3">
      <c r="A13" s="10" t="s">
        <v>86</v>
      </c>
      <c r="B13" s="11">
        <v>36</v>
      </c>
      <c r="C13" s="12">
        <v>0.1032</v>
      </c>
      <c r="E13" s="19">
        <v>12</v>
      </c>
      <c r="F13" s="20" t="s">
        <v>39</v>
      </c>
      <c r="G13" s="14">
        <v>13</v>
      </c>
      <c r="H13" s="14">
        <v>1.03</v>
      </c>
      <c r="I13" s="21" t="s">
        <v>4</v>
      </c>
      <c r="K13" s="13" t="s">
        <v>29</v>
      </c>
      <c r="L13" s="27">
        <v>2.6146807645880816</v>
      </c>
      <c r="M13" s="27">
        <v>0.71873014400110835</v>
      </c>
      <c r="N13" s="27">
        <v>-3.0428709913576326</v>
      </c>
      <c r="O13" s="27">
        <v>-1.2538616661581017</v>
      </c>
      <c r="P13" s="27">
        <v>-4.5566376539646403E-2</v>
      </c>
      <c r="Q13" s="28">
        <v>0.22330740138774252</v>
      </c>
    </row>
    <row r="14" spans="1:18" ht="17.25" thickBot="1" x14ac:dyDescent="0.3">
      <c r="A14" s="13" t="s">
        <v>74</v>
      </c>
      <c r="B14" s="14">
        <v>35</v>
      </c>
      <c r="C14" s="15">
        <v>0.1003</v>
      </c>
      <c r="E14" s="16">
        <v>13</v>
      </c>
      <c r="F14" s="17" t="s">
        <v>40</v>
      </c>
      <c r="G14" s="11">
        <v>12</v>
      </c>
      <c r="H14" s="11">
        <v>0.95</v>
      </c>
      <c r="I14" s="18" t="s">
        <v>27</v>
      </c>
      <c r="K14" s="10" t="s">
        <v>6</v>
      </c>
      <c r="L14" s="25">
        <v>-5.2675227355524452</v>
      </c>
      <c r="M14" s="25">
        <v>0.1780963249567569</v>
      </c>
      <c r="N14" s="25">
        <v>3.2361127849020757</v>
      </c>
      <c r="O14" s="25">
        <v>0.46390223854658152</v>
      </c>
      <c r="P14" s="25">
        <v>3.4087371854024338</v>
      </c>
      <c r="Q14" s="26">
        <v>-1.3937187636038388</v>
      </c>
    </row>
    <row r="15" spans="1:18" ht="17.25" thickBot="1" x14ac:dyDescent="0.3">
      <c r="A15" s="10" t="s">
        <v>48</v>
      </c>
      <c r="B15" s="11">
        <v>23</v>
      </c>
      <c r="C15" s="12">
        <v>6.59E-2</v>
      </c>
      <c r="E15" s="19">
        <v>14</v>
      </c>
      <c r="F15" s="20" t="s">
        <v>41</v>
      </c>
      <c r="G15" s="14">
        <v>11</v>
      </c>
      <c r="H15" s="14">
        <v>0.87</v>
      </c>
      <c r="I15" s="21" t="s">
        <v>37</v>
      </c>
      <c r="K15" s="13" t="s">
        <v>27</v>
      </c>
      <c r="L15" s="27">
        <v>-0.48205371817383663</v>
      </c>
      <c r="M15" s="27">
        <v>2.0761703315433313</v>
      </c>
      <c r="N15" s="27">
        <v>2.2859014460205067</v>
      </c>
      <c r="O15" s="27">
        <v>-3.5131858429096736</v>
      </c>
      <c r="P15" s="27">
        <v>-0.46122361542787699</v>
      </c>
      <c r="Q15" s="28">
        <v>0.65155015716761744</v>
      </c>
    </row>
    <row r="16" spans="1:18" ht="17.25" thickBot="1" x14ac:dyDescent="0.3">
      <c r="E16" s="16">
        <v>15</v>
      </c>
      <c r="F16" s="17" t="s">
        <v>42</v>
      </c>
      <c r="G16" s="11">
        <v>11</v>
      </c>
      <c r="H16" s="11">
        <v>0.87</v>
      </c>
      <c r="I16" s="18" t="s">
        <v>9</v>
      </c>
      <c r="K16" s="10" t="s">
        <v>37</v>
      </c>
      <c r="L16" s="25">
        <v>2.4375332289575526</v>
      </c>
      <c r="M16" s="25">
        <v>-1.0119734219963863</v>
      </c>
      <c r="N16" s="25">
        <v>0.96029308745601505</v>
      </c>
      <c r="O16" s="25">
        <v>-4.2529215553917403</v>
      </c>
      <c r="P16" s="25">
        <v>0.8271349820637478</v>
      </c>
      <c r="Q16" s="26">
        <v>1.2698229527821767</v>
      </c>
    </row>
    <row r="17" spans="1:17" ht="17.25" thickBot="1" x14ac:dyDescent="0.3">
      <c r="A17" s="7" t="s">
        <v>6</v>
      </c>
      <c r="B17" s="8" t="s">
        <v>82</v>
      </c>
      <c r="C17" s="9" t="s">
        <v>83</v>
      </c>
      <c r="E17" s="19">
        <v>16</v>
      </c>
      <c r="F17" s="20" t="s">
        <v>43</v>
      </c>
      <c r="G17" s="14">
        <v>11</v>
      </c>
      <c r="H17" s="14">
        <v>0.87</v>
      </c>
      <c r="I17" s="21" t="s">
        <v>6</v>
      </c>
      <c r="K17" s="13" t="s">
        <v>9</v>
      </c>
      <c r="L17" s="27">
        <v>-4.7190021961399848</v>
      </c>
      <c r="M17" s="27">
        <v>1.2319787619535989</v>
      </c>
      <c r="N17" s="27">
        <v>0.47403578732849494</v>
      </c>
      <c r="O17" s="27">
        <v>9.2852546735458805</v>
      </c>
      <c r="P17" s="27">
        <v>-4.3617720712734034</v>
      </c>
      <c r="Q17" s="28">
        <v>-1.5416402093239689</v>
      </c>
    </row>
    <row r="18" spans="1:17" ht="17.25" thickBot="1" x14ac:dyDescent="0.3">
      <c r="A18" s="10" t="s">
        <v>56</v>
      </c>
      <c r="B18" s="11">
        <v>116</v>
      </c>
      <c r="C18" s="12">
        <v>0.4874</v>
      </c>
      <c r="E18" s="16">
        <v>17</v>
      </c>
      <c r="F18" s="17" t="s">
        <v>44</v>
      </c>
      <c r="G18" s="11">
        <v>10</v>
      </c>
      <c r="H18" s="11">
        <v>0.79</v>
      </c>
      <c r="I18" s="18" t="s">
        <v>9</v>
      </c>
      <c r="K18" s="10" t="s">
        <v>25</v>
      </c>
      <c r="L18" s="25">
        <v>0.14984248799038094</v>
      </c>
      <c r="M18" s="25">
        <v>-1.3141957076713142</v>
      </c>
      <c r="N18" s="25">
        <v>-1.3333759239663781</v>
      </c>
      <c r="O18" s="25">
        <v>3.1504882936300946</v>
      </c>
      <c r="P18" s="25">
        <v>-0.26868581187039664</v>
      </c>
      <c r="Q18" s="26">
        <v>-0.87821912668142776</v>
      </c>
    </row>
    <row r="19" spans="1:17" ht="17.25" thickBot="1" x14ac:dyDescent="0.3">
      <c r="A19" s="13" t="s">
        <v>75</v>
      </c>
      <c r="B19" s="14">
        <v>71</v>
      </c>
      <c r="C19" s="15">
        <v>0.29830000000000001</v>
      </c>
      <c r="E19" s="19">
        <v>18</v>
      </c>
      <c r="F19" s="20" t="s">
        <v>45</v>
      </c>
      <c r="G19" s="14">
        <v>10</v>
      </c>
      <c r="H19" s="14">
        <v>0.79</v>
      </c>
      <c r="I19" s="21" t="s">
        <v>29</v>
      </c>
    </row>
    <row r="20" spans="1:17" ht="17.25" thickBot="1" x14ac:dyDescent="0.3">
      <c r="A20" s="10" t="s">
        <v>76</v>
      </c>
      <c r="B20" s="11">
        <v>24</v>
      </c>
      <c r="C20" s="12">
        <v>0.1008</v>
      </c>
      <c r="E20" s="16">
        <v>19</v>
      </c>
      <c r="F20" s="17" t="s">
        <v>46</v>
      </c>
      <c r="G20" s="11">
        <v>10</v>
      </c>
      <c r="H20" s="11">
        <v>0.79</v>
      </c>
      <c r="I20" s="18" t="s">
        <v>27</v>
      </c>
      <c r="K20" s="7" t="s">
        <v>72</v>
      </c>
      <c r="L20" s="8" t="s">
        <v>0</v>
      </c>
      <c r="M20" s="8" t="s">
        <v>2</v>
      </c>
      <c r="N20" s="8" t="s">
        <v>63</v>
      </c>
      <c r="O20" s="8" t="s">
        <v>64</v>
      </c>
      <c r="P20" s="8" t="s">
        <v>65</v>
      </c>
      <c r="Q20" s="9" t="s">
        <v>66</v>
      </c>
    </row>
    <row r="21" spans="1:17" ht="17.25" thickBot="1" x14ac:dyDescent="0.3">
      <c r="A21" s="13" t="s">
        <v>77</v>
      </c>
      <c r="B21" s="14">
        <v>19</v>
      </c>
      <c r="C21" s="15">
        <v>7.9799999999999996E-2</v>
      </c>
      <c r="E21" s="19">
        <v>20</v>
      </c>
      <c r="F21" s="20" t="s">
        <v>47</v>
      </c>
      <c r="G21" s="14">
        <v>9</v>
      </c>
      <c r="H21" s="14">
        <v>0.71</v>
      </c>
      <c r="I21" s="21" t="s">
        <v>29</v>
      </c>
      <c r="K21" s="10" t="s">
        <v>48</v>
      </c>
      <c r="L21" s="25">
        <v>2.4883088180994499</v>
      </c>
      <c r="M21" s="25">
        <v>2.2686124772108611</v>
      </c>
      <c r="N21" s="25">
        <v>-1.4655287105051573</v>
      </c>
      <c r="O21" s="25">
        <v>-2.0763056158551207</v>
      </c>
      <c r="P21" s="25">
        <v>-1.8197375833118294</v>
      </c>
      <c r="Q21" s="26">
        <v>-1.122853896195074</v>
      </c>
    </row>
    <row r="22" spans="1:17" ht="17.25" thickBot="1" x14ac:dyDescent="0.3">
      <c r="A22" s="10" t="s">
        <v>55</v>
      </c>
      <c r="B22" s="11">
        <v>7</v>
      </c>
      <c r="C22" s="12">
        <v>2.9399999999999999E-2</v>
      </c>
      <c r="K22" s="13" t="s">
        <v>49</v>
      </c>
      <c r="L22" s="27">
        <v>1.7307060849464544</v>
      </c>
      <c r="M22" s="27">
        <v>0.53669167151937391</v>
      </c>
      <c r="N22" s="27">
        <v>-1.6823839916205392</v>
      </c>
      <c r="O22" s="27">
        <v>-1.5094993557334204</v>
      </c>
      <c r="P22" s="27">
        <v>-0.54771972015889991</v>
      </c>
      <c r="Q22" s="28">
        <v>0.8226683547258673</v>
      </c>
    </row>
    <row r="23" spans="1:17" ht="17.25" thickBot="1" x14ac:dyDescent="0.3">
      <c r="A23" s="13" t="s">
        <v>84</v>
      </c>
      <c r="B23" s="14">
        <v>1</v>
      </c>
      <c r="C23" s="15">
        <v>4.1999999999999997E-3</v>
      </c>
      <c r="K23" s="10" t="s">
        <v>50</v>
      </c>
      <c r="L23" s="25">
        <v>0.89840653026524542</v>
      </c>
      <c r="M23" s="25">
        <v>0.13410785002587425</v>
      </c>
      <c r="N23" s="25">
        <v>-0.18943642835292535</v>
      </c>
      <c r="O23" s="25">
        <v>-2.8447703227133907</v>
      </c>
      <c r="P23" s="25">
        <v>0.94131093284436518</v>
      </c>
      <c r="Q23" s="26">
        <v>1.0286696599394156</v>
      </c>
    </row>
    <row r="24" spans="1:17" ht="17.25" thickBot="1" x14ac:dyDescent="0.3">
      <c r="A24" s="22"/>
      <c r="K24" s="13" t="s">
        <v>51</v>
      </c>
      <c r="L24" s="27">
        <v>-3.6926939207568199</v>
      </c>
      <c r="M24" s="27">
        <v>-3.2301162957854803</v>
      </c>
      <c r="N24" s="27">
        <v>3.9595754044599434</v>
      </c>
      <c r="O24" s="27">
        <v>5.2567505085942825</v>
      </c>
      <c r="P24" s="27">
        <v>1.0375426592668091</v>
      </c>
      <c r="Q24" s="28">
        <v>-1.4336634516664148</v>
      </c>
    </row>
    <row r="25" spans="1:17" ht="17.25" thickBot="1" x14ac:dyDescent="0.3">
      <c r="K25" s="10" t="s">
        <v>74</v>
      </c>
      <c r="L25" s="25">
        <v>-2.476805283211045</v>
      </c>
      <c r="M25" s="25">
        <v>0.34322320195023737</v>
      </c>
      <c r="N25" s="25">
        <v>0.12593810034321021</v>
      </c>
      <c r="O25" s="25">
        <v>3.3955933067103601</v>
      </c>
      <c r="P25" s="25">
        <v>-0.23739774742805125</v>
      </c>
      <c r="Q25" s="26">
        <v>-0.58351963166487852</v>
      </c>
    </row>
    <row r="26" spans="1:17" ht="16.5" thickBot="1" x14ac:dyDescent="0.3"/>
    <row r="27" spans="1:17" ht="17.25" thickBot="1" x14ac:dyDescent="0.3">
      <c r="K27" s="7" t="s">
        <v>72</v>
      </c>
      <c r="L27" s="8" t="s">
        <v>0</v>
      </c>
      <c r="M27" s="8" t="s">
        <v>2</v>
      </c>
      <c r="N27" s="8" t="s">
        <v>63</v>
      </c>
      <c r="O27" s="8" t="s">
        <v>64</v>
      </c>
      <c r="P27" s="8" t="s">
        <v>65</v>
      </c>
      <c r="Q27" s="9" t="s">
        <v>66</v>
      </c>
    </row>
    <row r="28" spans="1:17" ht="17.25" thickBot="1" x14ac:dyDescent="0.3">
      <c r="K28" s="10" t="s">
        <v>75</v>
      </c>
      <c r="L28" s="25">
        <v>2.5235086214445861</v>
      </c>
      <c r="M28" s="25">
        <v>2.4837340344014081</v>
      </c>
      <c r="N28" s="25">
        <v>-1.9626479249720317</v>
      </c>
      <c r="O28" s="25">
        <v>-2.5142178213244453</v>
      </c>
      <c r="P28" s="25">
        <v>0.3872519972059611</v>
      </c>
      <c r="Q28" s="26">
        <v>-1.7510657252129647</v>
      </c>
    </row>
    <row r="29" spans="1:17" ht="17.25" thickBot="1" x14ac:dyDescent="0.3">
      <c r="K29" s="13" t="s">
        <v>55</v>
      </c>
      <c r="L29" s="27">
        <v>2.2529248162725399</v>
      </c>
      <c r="M29" s="27">
        <v>-0.36847603576441651</v>
      </c>
      <c r="N29" s="27">
        <v>-0.31698541664525309</v>
      </c>
      <c r="O29" s="27">
        <v>-1.2610968203770836</v>
      </c>
      <c r="P29" s="27">
        <v>0.127882822748078</v>
      </c>
      <c r="Q29" s="28">
        <v>-0.46749238244065189</v>
      </c>
    </row>
    <row r="30" spans="1:17" ht="17.25" thickBot="1" x14ac:dyDescent="0.3">
      <c r="K30" s="10" t="s">
        <v>56</v>
      </c>
      <c r="L30" s="25">
        <v>-3.7840503796027849</v>
      </c>
      <c r="M30" s="25">
        <v>-4.2047014761183785</v>
      </c>
      <c r="N30" s="25">
        <v>2.3405646884596703</v>
      </c>
      <c r="O30" s="25">
        <v>4.0588613969278144</v>
      </c>
      <c r="P30" s="25">
        <v>1.8501293079477246</v>
      </c>
      <c r="Q30" s="26">
        <v>-1.851128004510501</v>
      </c>
    </row>
    <row r="31" spans="1:17" ht="17.25" thickBot="1" x14ac:dyDescent="0.3">
      <c r="K31" s="13" t="s">
        <v>76</v>
      </c>
      <c r="L31" s="27">
        <v>-0.82704502425821391</v>
      </c>
      <c r="M31" s="27">
        <v>0.68160318812038334</v>
      </c>
      <c r="N31" s="27">
        <v>0.80384127743952682</v>
      </c>
      <c r="O31" s="27">
        <v>-0.18806779145509095</v>
      </c>
      <c r="P31" s="27">
        <v>-3.0998341830841243</v>
      </c>
      <c r="Q31" s="28">
        <v>6.7451483555328728</v>
      </c>
    </row>
    <row r="32" spans="1:17" ht="17.25" thickBot="1" x14ac:dyDescent="0.3">
      <c r="K32" s="10" t="s">
        <v>77</v>
      </c>
      <c r="L32" s="25">
        <v>2.3291005409264507</v>
      </c>
      <c r="M32" s="25">
        <v>3.1527275832000812</v>
      </c>
      <c r="N32" s="25">
        <v>-1.5833972023830365</v>
      </c>
      <c r="O32" s="25">
        <v>-2.133831606720658</v>
      </c>
      <c r="P32" s="25">
        <v>-1.1001387253853605</v>
      </c>
      <c r="Q32" s="26">
        <v>-0.79101779136571349</v>
      </c>
    </row>
    <row r="33" spans="11:17" ht="17.25" thickBot="1" x14ac:dyDescent="0.3">
      <c r="K33" s="13" t="s">
        <v>84</v>
      </c>
      <c r="L33" s="27">
        <v>-0.40206321858408139</v>
      </c>
      <c r="M33" s="27">
        <v>-0.49710319088589316</v>
      </c>
      <c r="N33" s="27">
        <v>-0.48388471959081264</v>
      </c>
      <c r="O33" s="27">
        <v>-0.47057757527813282</v>
      </c>
      <c r="P33" s="27">
        <v>1.670179139828603</v>
      </c>
      <c r="Q33" s="28">
        <v>-0.17444452181248013</v>
      </c>
    </row>
    <row r="34" spans="11:17" x14ac:dyDescent="0.25">
      <c r="K34" s="2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2026-10-01T16:48:29Z</dcterms:modified>
</cp:coreProperties>
</file>